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/>
  <xr:revisionPtr revIDLastSave="0" documentId="13_ncr:1_{B7047EF1-C1D3-46FE-93EB-1A3C5AF7C28E}" xr6:coauthVersionLast="47" xr6:coauthVersionMax="47" xr10:uidLastSave="{00000000-0000-0000-0000-000000000000}"/>
  <bookViews>
    <workbookView xWindow="-110" yWindow="-110" windowWidth="25820" windowHeight="15860" xr2:uid="{00000000-000D-0000-FFFF-FFFF00000000}"/>
  </bookViews>
  <sheets>
    <sheet name="Cash flow" sheetId="1" r:id="rId1"/>
    <sheet name="Yearly income" sheetId="4" r:id="rId2"/>
    <sheet name="Yearly expenses" sheetId="3" r:id="rId3"/>
    <sheet name="List Income" sheetId="5" r:id="rId4"/>
    <sheet name="List Expenses" sheetId="6" r:id="rId5"/>
  </sheets>
  <definedNames>
    <definedName name="_xlnm.Print_Titles" localSheetId="0">'Cash flow'!$7:$7</definedName>
    <definedName name="_xlnm.Print_Titles" localSheetId="2">'Yearly expenses'!$5:$5</definedName>
    <definedName name="_xlnm.Print_Titles" localSheetId="1">'Yearly income'!$22:$22</definedName>
    <definedName name="Title1">CashFlow[[#Headers],[Cash Flow]]</definedName>
    <definedName name="Title2">Income[[#Headers],[Monthly Income]]</definedName>
    <definedName name="Title3">Expenses[[#Headers],[Monthly expenses]]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6" l="1"/>
  <c r="C61" i="6"/>
  <c r="C55" i="6"/>
  <c r="C42" i="6"/>
  <c r="D8" i="1"/>
  <c r="C17" i="6"/>
  <c r="D30" i="3" s="1"/>
  <c r="C5" i="6"/>
  <c r="D33" i="3" s="1"/>
  <c r="D23" i="4"/>
  <c r="D46" i="4"/>
  <c r="D47" i="4"/>
  <c r="D48" i="4"/>
  <c r="D45" i="4"/>
  <c r="D35" i="4"/>
  <c r="D36" i="4"/>
  <c r="D37" i="4"/>
  <c r="D34" i="4"/>
  <c r="D24" i="4"/>
  <c r="D25" i="4"/>
  <c r="D26" i="4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38" i="3"/>
  <c r="D28" i="3"/>
  <c r="D29" i="3"/>
  <c r="D31" i="3"/>
  <c r="D32" i="3"/>
  <c r="D34" i="3"/>
  <c r="D35" i="3"/>
  <c r="D36" i="3"/>
  <c r="D37" i="3"/>
  <c r="D39" i="3"/>
  <c r="D40" i="3"/>
  <c r="D41" i="3"/>
  <c r="D49" i="4" l="1"/>
  <c r="D13" i="4"/>
  <c r="D12" i="4"/>
  <c r="D38" i="4"/>
  <c r="D14" i="4"/>
  <c r="D27" i="4"/>
  <c r="D11" i="4"/>
  <c r="D9" i="3"/>
  <c r="D8" i="3"/>
  <c r="D15" i="3"/>
  <c r="D13" i="3"/>
  <c r="D11" i="3"/>
  <c r="D14" i="3"/>
  <c r="D10" i="3"/>
  <c r="D84" i="3"/>
  <c r="D17" i="3"/>
  <c r="D16" i="3"/>
  <c r="D63" i="3"/>
  <c r="D12" i="3"/>
  <c r="D19" i="3"/>
  <c r="D18" i="3"/>
  <c r="D7" i="3"/>
  <c r="D6" i="3"/>
  <c r="D10" i="4" l="1"/>
  <c r="D9" i="1" s="1"/>
  <c r="D20" i="3"/>
  <c r="D10" i="1" s="1"/>
  <c r="D42" i="3"/>
  <c r="D11" i="1" l="1"/>
  <c r="D12" i="1" s="1"/>
</calcChain>
</file>

<file path=xl/sharedStrings.xml><?xml version="1.0" encoding="utf-8"?>
<sst xmlns="http://schemas.openxmlformats.org/spreadsheetml/2006/main" count="240" uniqueCount="87">
  <si>
    <t>Cash Flow</t>
  </si>
  <si>
    <t>Actual</t>
  </si>
  <si>
    <t>Total Income</t>
  </si>
  <si>
    <t>Monthly Income</t>
  </si>
  <si>
    <t>Other Income</t>
  </si>
  <si>
    <t>Groceries</t>
  </si>
  <si>
    <t>Transportation</t>
  </si>
  <si>
    <t>Gifts / Charity</t>
  </si>
  <si>
    <t>Savings</t>
  </si>
  <si>
    <t>Other</t>
  </si>
  <si>
    <t>Total income</t>
  </si>
  <si>
    <t>Total expenses</t>
  </si>
  <si>
    <t>Personal care</t>
  </si>
  <si>
    <t>Credit cards</t>
  </si>
  <si>
    <t>Monthly expenses</t>
  </si>
  <si>
    <t xml:space="preserve"> </t>
  </si>
  <si>
    <t>PoliMi</t>
  </si>
  <si>
    <t>Deddo</t>
  </si>
  <si>
    <t>Cash</t>
  </si>
  <si>
    <t>Other income</t>
  </si>
  <si>
    <t>October INCOME</t>
  </si>
  <si>
    <t>November INCOME</t>
  </si>
  <si>
    <t>December INCOME</t>
  </si>
  <si>
    <t>Restaurants</t>
  </si>
  <si>
    <t>Going out</t>
  </si>
  <si>
    <t>Claudia</t>
  </si>
  <si>
    <t>Family</t>
  </si>
  <si>
    <t>Yearly EXPENSES</t>
  </si>
  <si>
    <t>Year</t>
  </si>
  <si>
    <t>Tot BUDGET</t>
  </si>
  <si>
    <t>October EXPENSES</t>
  </si>
  <si>
    <t>November EXPENSES</t>
  </si>
  <si>
    <t>December EXPENSES</t>
  </si>
  <si>
    <t>Travel</t>
  </si>
  <si>
    <t>Yearly INCOME</t>
  </si>
  <si>
    <t>Shopping</t>
  </si>
  <si>
    <t>DATE</t>
  </si>
  <si>
    <t>CATEGORY</t>
  </si>
  <si>
    <t>AMOUNT</t>
  </si>
  <si>
    <t>AMOUT</t>
  </si>
  <si>
    <t>DESCRIPTION</t>
  </si>
  <si>
    <t>First half-payement</t>
  </si>
  <si>
    <t>Pre-paid card</t>
  </si>
  <si>
    <t>Evaluated Bank Amout</t>
  </si>
  <si>
    <t>Kineton</t>
  </si>
  <si>
    <t>Chinese Learning Books for me and Leo</t>
  </si>
  <si>
    <t>New Dad's phone case</t>
  </si>
  <si>
    <t>Cable Lamp (Amazon)</t>
  </si>
  <si>
    <t>Yankee Candels</t>
  </si>
  <si>
    <t>Lost</t>
  </si>
  <si>
    <t>Amazon Fresh</t>
  </si>
  <si>
    <t>Poke Glovo</t>
  </si>
  <si>
    <t>Chinese Glovo</t>
  </si>
  <si>
    <t>DelBo Visita</t>
  </si>
  <si>
    <t>Bonifico Andrea Boldrino Tesi KTH</t>
  </si>
  <si>
    <t>Regalo Andra Formicola Laurea</t>
  </si>
  <si>
    <t>ATM Milano</t>
  </si>
  <si>
    <t>IKEA per la stanza M</t>
  </si>
  <si>
    <t>Burger King</t>
  </si>
  <si>
    <t>tazza the natale</t>
  </si>
  <si>
    <t>Libri Francese</t>
  </si>
  <si>
    <t>Yankee Calendario avvento</t>
  </si>
  <si>
    <t>Benzina Pieno</t>
  </si>
  <si>
    <t>Init  income</t>
  </si>
  <si>
    <t>Autostrada</t>
  </si>
  <si>
    <t xml:space="preserve">Cioccolattini </t>
  </si>
  <si>
    <t>Sushi Glovo</t>
  </si>
  <si>
    <t>Acufene visita</t>
  </si>
  <si>
    <t>Microsoft Abbonamento</t>
  </si>
  <si>
    <t>Parking</t>
  </si>
  <si>
    <t>RM con contrasto</t>
  </si>
  <si>
    <t>Prelievi (Riccardo)</t>
  </si>
  <si>
    <t>Regalo Sofia Compleanno (pagato cash)</t>
  </si>
  <si>
    <t>Recupero Prelievi Riccardo (Deddo)</t>
  </si>
  <si>
    <t>Pasta senza glutine</t>
  </si>
  <si>
    <t>Parking (2.91eur credito su easypark)</t>
  </si>
  <si>
    <t>Carta Eni Declined</t>
  </si>
  <si>
    <t>Benzina Q8 + Autogrill</t>
  </si>
  <si>
    <t>Acqua Hotel</t>
  </si>
  <si>
    <t>Lunch Turin</t>
  </si>
  <si>
    <t>First Full payement</t>
  </si>
  <si>
    <t>Reimborso Visite Mediche</t>
  </si>
  <si>
    <t>Cappuccino</t>
  </si>
  <si>
    <t>Regalo Tommy (incl 50 from others)</t>
  </si>
  <si>
    <t>32eur regalo Maura</t>
  </si>
  <si>
    <t>Quota altri regalo Tommaso</t>
  </si>
  <si>
    <t>and Christmas stuff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</si>
</sst>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&quot;$&quot;#,##0"/>
    <numFmt numFmtId="165" formatCode="#,##0.00\ [$€-1]"/>
  </numFmts>
  <fonts count="27" x14ac:knownFonts="1">
    <font>
      <sz val="11"/>
      <color theme="1" tint="0.34998626667073579"/>
      <name val="Arial"/>
      <family val="2"/>
      <scheme val="minor"/>
    </font>
    <font>
      <b/>
      <sz val="11"/>
      <color theme="1"/>
      <name val="Arial"/>
      <family val="2"/>
      <scheme val="minor"/>
    </font>
    <font>
      <sz val="24"/>
      <color theme="6"/>
      <name val="Arial Black"/>
      <family val="2"/>
      <scheme val="major"/>
    </font>
    <font>
      <b/>
      <sz val="56"/>
      <color theme="6"/>
      <name val="Arial Black"/>
      <family val="2"/>
      <scheme val="major"/>
    </font>
    <font>
      <sz val="11"/>
      <color theme="1" tint="0.34998626667073579"/>
      <name val="Arial"/>
      <family val="2"/>
      <scheme val="minor"/>
    </font>
    <font>
      <b/>
      <sz val="11"/>
      <color theme="4"/>
      <name val="Arial Black"/>
      <family val="2"/>
      <scheme val="major"/>
    </font>
    <font>
      <i/>
      <sz val="16"/>
      <color theme="1" tint="0.34998626667073579"/>
      <name val="Arial Black"/>
      <family val="2"/>
      <scheme val="major"/>
    </font>
    <font>
      <sz val="11"/>
      <color theme="4"/>
      <name val="Arial Black"/>
      <family val="2"/>
      <scheme val="major"/>
    </font>
    <font>
      <sz val="11"/>
      <color theme="5" tint="-0.24994659260841701"/>
      <name val="Arial Black"/>
      <family val="2"/>
      <scheme val="major"/>
    </font>
    <font>
      <u/>
      <sz val="11"/>
      <color theme="1" tint="0.34998626667073579"/>
      <name val="Arial"/>
      <family val="2"/>
      <scheme val="minor"/>
    </font>
    <font>
      <b/>
      <sz val="11"/>
      <color theme="5" tint="-0.24994659260841701"/>
      <name val="Arial Black"/>
      <family val="2"/>
      <scheme val="major"/>
    </font>
    <font>
      <b/>
      <sz val="11"/>
      <color theme="7" tint="-0.24994659260841701"/>
      <name val="Arial Black"/>
      <family val="2"/>
      <scheme val="major"/>
    </font>
    <font>
      <sz val="12"/>
      <color theme="1" tint="0.34998626667073579"/>
      <name val="Arial"/>
      <family val="2"/>
      <scheme val="minor"/>
    </font>
    <font>
      <sz val="22"/>
      <color theme="1" tint="0.34998626667073579"/>
      <name val="Arial"/>
      <family val="2"/>
      <scheme val="minor"/>
    </font>
    <font>
      <sz val="22"/>
      <color theme="6"/>
      <name val="Arial Black"/>
      <family val="2"/>
    </font>
    <font>
      <sz val="12"/>
      <color theme="6"/>
      <name val="Arial Black"/>
      <family val="2"/>
    </font>
    <font>
      <b/>
      <sz val="12"/>
      <color theme="1" tint="0.24994659260841701"/>
      <name val="Arial"/>
      <family val="2"/>
      <scheme val="minor"/>
    </font>
    <font>
      <sz val="12"/>
      <color theme="1" tint="0.24994659260841701"/>
      <name val="Arial"/>
      <family val="2"/>
      <scheme val="minor"/>
    </font>
    <font>
      <sz val="22"/>
      <color theme="6" tint="-0.24994659260841701"/>
      <name val="Arial Black"/>
      <family val="2"/>
      <scheme val="major"/>
    </font>
    <font>
      <sz val="11"/>
      <color theme="6" tint="-0.24994659260841701"/>
      <name val="Arial Black"/>
      <family val="2"/>
      <scheme val="major"/>
    </font>
    <font>
      <sz val="40"/>
      <color theme="6" tint="-0.24994659260841701"/>
      <name val="Arial Black"/>
      <family val="2"/>
      <scheme val="major"/>
    </font>
    <font>
      <sz val="11"/>
      <color theme="1" tint="0.34998626667073579"/>
      <name val="Arial Black"/>
      <family val="2"/>
      <scheme val="major"/>
    </font>
    <font>
      <b/>
      <sz val="11"/>
      <color theme="1" tint="0.34998626667073579"/>
      <name val="Arial"/>
      <family val="2"/>
      <scheme val="minor"/>
    </font>
    <font>
      <sz val="8"/>
      <name val="Arial"/>
      <family val="2"/>
      <scheme val="minor"/>
    </font>
    <font>
      <b/>
      <sz val="16"/>
      <color theme="1" tint="0.34998626667073579"/>
      <name val="Arial"/>
      <family val="2"/>
      <scheme val="minor"/>
    </font>
    <font>
      <sz val="12"/>
      <color rgb="FF00B050"/>
      <name val="Arial"/>
      <family val="2"/>
      <scheme val="minor"/>
    </font>
    <font>
      <sz val="12"/>
      <color rgb="FFC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>
      <alignment vertical="center" wrapText="1"/>
    </xf>
    <xf numFmtId="0" fontId="6" fillId="0" borderId="0" applyNumberFormat="0" applyFill="0" applyBorder="0" applyProtection="0">
      <alignment horizontal="left" vertical="top"/>
    </xf>
    <xf numFmtId="0" fontId="2" fillId="0" borderId="0" applyNumberFormat="0" applyFill="0" applyProtection="0">
      <alignment horizontal="left"/>
    </xf>
    <xf numFmtId="0" fontId="3" fillId="0" borderId="0" applyNumberFormat="0" applyFill="0" applyProtection="0">
      <alignment horizontal="left" vertical="center"/>
    </xf>
    <xf numFmtId="0" fontId="10" fillId="0" borderId="0" applyNumberFormat="0" applyFill="0" applyBorder="0" applyProtection="0">
      <alignment horizontal="right" vertical="center" indent="2"/>
    </xf>
    <xf numFmtId="0" fontId="5" fillId="0" borderId="0" applyNumberFormat="0" applyFill="0" applyBorder="0" applyProtection="0">
      <alignment horizontal="right" vertical="center" indent="2"/>
    </xf>
    <xf numFmtId="0" fontId="1" fillId="0" borderId="0" applyNumberFormat="0" applyFill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Protection="0">
      <alignment horizontal="right" vertical="center" indent="2"/>
    </xf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1" applyNumberFormat="0" applyFont="0" applyAlignment="0" applyProtection="0"/>
    <xf numFmtId="0" fontId="8" fillId="0" borderId="0" applyNumberFormat="0" applyFill="0" applyBorder="0">
      <alignment horizontal="right" vertical="center" indent="2"/>
    </xf>
    <xf numFmtId="0" fontId="11" fillId="0" borderId="0" applyNumberFormat="0" applyFill="0" applyBorder="0">
      <alignment horizontal="right" vertical="center" indent="2"/>
    </xf>
    <xf numFmtId="0" fontId="4" fillId="0" borderId="0" applyNumberFormat="0" applyFill="0" applyBorder="0" applyProtection="0">
      <alignment vertical="center" wrapText="1"/>
    </xf>
    <xf numFmtId="0" fontId="9" fillId="0" borderId="0" applyNumberFormat="0" applyFill="0" applyBorder="0" applyProtection="0">
      <alignment vertical="center" wrapText="1"/>
    </xf>
    <xf numFmtId="164" fontId="7" fillId="0" borderId="0" applyFill="0" applyBorder="0">
      <alignment horizontal="right" vertical="center" indent="2"/>
    </xf>
  </cellStyleXfs>
  <cellXfs count="49">
    <xf numFmtId="0" fontId="0" fillId="0" borderId="0" xfId="0">
      <alignment vertical="center" wrapText="1"/>
    </xf>
    <xf numFmtId="0" fontId="0" fillId="0" borderId="0" xfId="0" applyAlignment="1">
      <alignment horizontal="right" indent="2"/>
    </xf>
    <xf numFmtId="0" fontId="0" fillId="3" borderId="0" xfId="0" applyFill="1">
      <alignment vertical="center" wrapText="1"/>
    </xf>
    <xf numFmtId="0" fontId="0" fillId="3" borderId="0" xfId="0" applyFill="1" applyAlignment="1">
      <alignment horizontal="right" indent="2"/>
    </xf>
    <xf numFmtId="164" fontId="0" fillId="3" borderId="0" xfId="9" applyFont="1" applyFill="1">
      <alignment horizontal="right" vertical="center" indent="2"/>
    </xf>
    <xf numFmtId="0" fontId="0" fillId="0" borderId="0" xfId="0" applyAlignment="1">
      <alignment horizontal="left" vertical="center" wrapText="1" indent="2"/>
    </xf>
    <xf numFmtId="0" fontId="0" fillId="3" borderId="0" xfId="0" applyFill="1" applyAlignment="1">
      <alignment horizontal="left" vertical="center" wrapText="1" indent="2"/>
    </xf>
    <xf numFmtId="0" fontId="12" fillId="3" borderId="0" xfId="0" applyFont="1" applyFill="1" applyAlignment="1">
      <alignment horizontal="left" vertical="center" wrapText="1" indent="2"/>
    </xf>
    <xf numFmtId="0" fontId="12" fillId="0" borderId="0" xfId="0" applyFont="1" applyAlignment="1">
      <alignment horizontal="left" vertical="center" wrapText="1" indent="2"/>
    </xf>
    <xf numFmtId="17" fontId="15" fillId="3" borderId="0" xfId="2" applyNumberFormat="1" applyFont="1" applyFill="1" applyAlignment="1">
      <alignment horizontal="left" vertical="center" indent="2"/>
    </xf>
    <xf numFmtId="0" fontId="14" fillId="3" borderId="0" xfId="0" applyFont="1" applyFill="1" applyAlignment="1">
      <alignment horizontal="right" vertical="center" indent="2"/>
    </xf>
    <xf numFmtId="0" fontId="13" fillId="3" borderId="0" xfId="0" applyFont="1" applyFill="1" applyAlignment="1">
      <alignment vertical="top"/>
    </xf>
    <xf numFmtId="0" fontId="16" fillId="3" borderId="2" xfId="4" applyFont="1" applyFill="1" applyBorder="1">
      <alignment horizontal="right" vertical="center" indent="2"/>
    </xf>
    <xf numFmtId="0" fontId="17" fillId="3" borderId="0" xfId="0" applyFont="1" applyFill="1" applyAlignment="1">
      <alignment horizontal="left" vertical="center" indent="2"/>
    </xf>
    <xf numFmtId="0" fontId="17" fillId="3" borderId="0" xfId="0" applyFont="1" applyFill="1" applyAlignment="1">
      <alignment horizontal="left" vertical="center" wrapText="1" indent="2"/>
    </xf>
    <xf numFmtId="0" fontId="16" fillId="3" borderId="0" xfId="4" applyFont="1" applyFill="1" applyBorder="1">
      <alignment horizontal="right" vertical="center" indent="2"/>
    </xf>
    <xf numFmtId="0" fontId="16" fillId="3" borderId="0" xfId="13" applyFont="1" applyFill="1" applyBorder="1">
      <alignment horizontal="right" vertical="center" indent="2"/>
    </xf>
    <xf numFmtId="0" fontId="13" fillId="3" borderId="0" xfId="1" applyFont="1" applyFill="1" applyAlignment="1">
      <alignment horizontal="left" vertical="top" indent="2"/>
    </xf>
    <xf numFmtId="0" fontId="16" fillId="3" borderId="2" xfId="0" applyFont="1" applyFill="1" applyBorder="1" applyAlignment="1">
      <alignment horizontal="left" vertical="center" wrapText="1" indent="2"/>
    </xf>
    <xf numFmtId="0" fontId="16" fillId="3" borderId="0" xfId="0" applyFont="1" applyFill="1" applyAlignment="1">
      <alignment horizontal="left" vertical="center" indent="2"/>
    </xf>
    <xf numFmtId="0" fontId="17" fillId="0" borderId="0" xfId="0" applyFont="1" applyAlignment="1">
      <alignment horizontal="left" vertical="center" indent="2"/>
    </xf>
    <xf numFmtId="0" fontId="16" fillId="3" borderId="0" xfId="0" applyFont="1" applyFill="1" applyAlignment="1">
      <alignment horizontal="left" vertical="center" wrapText="1" indent="2"/>
    </xf>
    <xf numFmtId="164" fontId="0" fillId="3" borderId="4" xfId="9" applyFont="1" applyFill="1" applyBorder="1">
      <alignment horizontal="right" vertical="center" indent="2"/>
    </xf>
    <xf numFmtId="0" fontId="0" fillId="3" borderId="4" xfId="0" applyFill="1" applyBorder="1">
      <alignment vertical="center" wrapText="1"/>
    </xf>
    <xf numFmtId="17" fontId="18" fillId="3" borderId="3" xfId="2" applyNumberFormat="1" applyFont="1" applyFill="1" applyBorder="1" applyAlignment="1">
      <alignment vertical="center"/>
    </xf>
    <xf numFmtId="0" fontId="18" fillId="3" borderId="3" xfId="0" applyFont="1" applyFill="1" applyBorder="1" applyAlignment="1">
      <alignment vertical="center"/>
    </xf>
    <xf numFmtId="0" fontId="24" fillId="3" borderId="0" xfId="0" applyFont="1" applyFill="1" applyAlignment="1">
      <alignment horizontal="left" vertical="center" wrapText="1" indent="2"/>
    </xf>
    <xf numFmtId="0" fontId="22" fillId="0" borderId="0" xfId="0" applyFont="1">
      <alignment vertical="center" wrapText="1"/>
    </xf>
    <xf numFmtId="0" fontId="25" fillId="3" borderId="0" xfId="0" applyFont="1" applyFill="1" applyAlignment="1">
      <alignment horizontal="left" vertical="center" indent="2"/>
    </xf>
    <xf numFmtId="0" fontId="26" fillId="3" borderId="0" xfId="0" applyFont="1" applyFill="1" applyAlignment="1">
      <alignment horizontal="left" vertical="center" indent="2"/>
    </xf>
    <xf numFmtId="16" fontId="0" fillId="0" borderId="0" xfId="0" applyNumberFormat="1">
      <alignment vertical="center" wrapText="1"/>
    </xf>
    <xf numFmtId="0" fontId="22" fillId="4" borderId="0" xfId="0" applyFont="1" applyFill="1" applyAlignment="1">
      <alignment horizontal="center" vertical="center" wrapText="1"/>
    </xf>
    <xf numFmtId="2" fontId="17" fillId="3" borderId="0" xfId="9" applyNumberFormat="1" applyFont="1" applyFill="1" applyBorder="1">
      <alignment horizontal="right" vertical="center" indent="2"/>
    </xf>
    <xf numFmtId="2" fontId="16" fillId="3" borderId="0" xfId="0" applyNumberFormat="1" applyFont="1" applyFill="1" applyAlignment="1">
      <alignment horizontal="right" vertical="center" indent="2"/>
    </xf>
    <xf numFmtId="165" fontId="17" fillId="0" borderId="0" xfId="9" applyNumberFormat="1" applyFont="1" applyFill="1" applyBorder="1">
      <alignment horizontal="right" vertical="center" indent="2"/>
    </xf>
    <xf numFmtId="165" fontId="16" fillId="3" borderId="0" xfId="0" applyNumberFormat="1" applyFont="1" applyFill="1" applyAlignment="1">
      <alignment horizontal="right" vertical="center" indent="2"/>
    </xf>
    <xf numFmtId="165" fontId="0" fillId="0" borderId="0" xfId="0" applyNumberFormat="1">
      <alignment vertical="center" wrapText="1"/>
    </xf>
    <xf numFmtId="165" fontId="24" fillId="3" borderId="0" xfId="0" applyNumberFormat="1" applyFont="1" applyFill="1">
      <alignment vertical="center" wrapText="1"/>
    </xf>
    <xf numFmtId="165" fontId="0" fillId="3" borderId="0" xfId="0" applyNumberFormat="1" applyFill="1">
      <alignment vertical="center" wrapText="1"/>
    </xf>
    <xf numFmtId="165" fontId="17" fillId="3" borderId="0" xfId="13" applyNumberFormat="1" applyFont="1" applyFill="1" applyBorder="1">
      <alignment horizontal="right" vertical="center" indent="2"/>
    </xf>
    <xf numFmtId="165" fontId="16" fillId="3" borderId="0" xfId="9" applyNumberFormat="1" applyFont="1" applyFill="1" applyBorder="1">
      <alignment horizontal="right" vertical="center" indent="2"/>
    </xf>
    <xf numFmtId="165" fontId="0" fillId="0" borderId="0" xfId="9" applyNumberFormat="1" applyFont="1">
      <alignment horizontal="right" vertical="center" indent="2"/>
    </xf>
    <xf numFmtId="164" fontId="0" fillId="3" borderId="0" xfId="9" applyFont="1" applyFill="1" applyBorder="1">
      <alignment horizontal="right" vertical="center" indent="2"/>
    </xf>
    <xf numFmtId="165" fontId="17" fillId="3" borderId="0" xfId="4" applyNumberFormat="1" applyFont="1" applyFill="1" applyBorder="1">
      <alignment horizontal="right" vertical="center" indent="2"/>
    </xf>
    <xf numFmtId="17" fontId="20" fillId="3" borderId="0" xfId="2" applyNumberFormat="1" applyFont="1" applyFill="1" applyAlignment="1">
      <alignment horizontal="left" indent="2"/>
    </xf>
    <xf numFmtId="0" fontId="19" fillId="3" borderId="0" xfId="0" applyFont="1" applyFill="1" applyAlignment="1">
      <alignment horizontal="left" indent="2"/>
    </xf>
    <xf numFmtId="0" fontId="20" fillId="3" borderId="0" xfId="0" applyFont="1" applyFill="1" applyAlignment="1">
      <alignment horizontal="right" indent="2"/>
    </xf>
    <xf numFmtId="0" fontId="21" fillId="3" borderId="0" xfId="0" applyFont="1" applyFill="1" applyAlignment="1">
      <alignment horizontal="right" indent="2"/>
    </xf>
    <xf numFmtId="17" fontId="18" fillId="3" borderId="3" xfId="2" applyNumberFormat="1" applyFont="1" applyFill="1" applyBorder="1" applyAlignment="1">
      <alignment horizontal="center" vertical="center"/>
    </xf>
  </cellXfs>
  <cellStyles count="18">
    <cellStyle name="Actual" xfId="13" xr:uid="{00000000-0005-0000-0000-000000000000}"/>
    <cellStyle name="Comma" xfId="7" builtinId="3" customBuiltin="1"/>
    <cellStyle name="Comma [0]" xfId="8" builtinId="6" customBuiltin="1"/>
    <cellStyle name="Currency" xfId="9" builtinId="4" customBuiltin="1"/>
    <cellStyle name="Currency [0]" xfId="10" builtinId="7" customBuiltin="1"/>
    <cellStyle name="Followed Hyperlink" xfId="16" builtinId="9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5" builtinId="8" customBuiltin="1"/>
    <cellStyle name="Normal" xfId="0" builtinId="0" customBuiltin="1"/>
    <cellStyle name="Note" xfId="12" builtinId="10" customBuiltin="1"/>
    <cellStyle name="Percent" xfId="11" builtinId="5" customBuiltin="1"/>
    <cellStyle name="Projected" xfId="17" xr:uid="{00000000-0005-0000-0000-00000E000000}"/>
    <cellStyle name="Title" xfId="1" builtinId="15" customBuiltin="1"/>
    <cellStyle name="Total" xfId="6" builtinId="25" customBuiltin="1"/>
    <cellStyle name="Variance heading" xfId="14" xr:uid="{00000000-0005-0000-0000-000011000000}"/>
  </cellStyles>
  <dxfs count="5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6" formatCode="[$€-2]\ #,##0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6" formatCode="[$€-2]\ #,##0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6" formatCode="[$€-2]\ #,##0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6" formatCode="[$€-2]\ #,##0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4" formatCode="&quot;$&quot;#,##0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2" formatCode="0.00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4" formatCode="&quot;$&quot;#,##0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2" formatCode="0.00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4" formatCode="&quot;$&quot;#,##0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2" formatCode="0.00"/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  <alignment horizontal="righ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numFmt numFmtId="165" formatCode="#,##0.00\ [$€-1]"/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vertical="center" textRotation="0" wrapText="1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  <alignment horizontal="left" textRotation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 tint="0.24994659260841701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color theme="1" tint="0.2499465926084170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</dxfs>
  <tableStyles count="1" defaultTableStyle="Monthly Family Budget" defaultPivotStyle="PivotStyleLight16">
    <tableStyle name="Monthly Family Budget" pivot="0" count="1" xr9:uid="{00000000-0011-0000-FFFF-FFFF00000000}">
      <tableStyleElement type="wholeTable" dxfId="5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16024908914837"/>
          <c:y val="0.1702132503050636"/>
          <c:w val="0.86007165436409405"/>
          <c:h val="0.66070226694149947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589480"/>
        <c:axId val="35058908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'Cash flow'!$D$7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'Cash flow'!$C$8:$C$10</c15:sqref>
                        </c15:formulaRef>
                      </c:ext>
                    </c:extLst>
                    <c:strCache>
                      <c:ptCount val="3"/>
                      <c:pt idx="0">
                        <c:v>Init  income</c:v>
                      </c:pt>
                      <c:pt idx="1">
                        <c:v>Total income</c:v>
                      </c:pt>
                      <c:pt idx="2">
                        <c:v>Total expenses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'Cash flow'!$D$8:$D$10</c15:sqref>
                        </c15:formulaRef>
                      </c:ext>
                    </c:extLst>
                    <c:numCache>
                      <c:formatCode>#,##0.00\ [$€-1]</c:formatCode>
                      <c:ptCount val="3"/>
                      <c:pt idx="0">
                        <c:v>1100.22</c:v>
                      </c:pt>
                      <c:pt idx="1">
                        <c:v>6438.79</c:v>
                      </c:pt>
                      <c:pt idx="2">
                        <c:v>2980.04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115-436B-8524-6C47A7BD125E}"/>
                  </c:ext>
                </c:extLst>
              </c15:ser>
            </c15:filteredBarSeries>
          </c:ext>
        </c:extLst>
      </c:barChart>
      <c:catAx>
        <c:axId val="350589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589088"/>
        <c:crosses val="autoZero"/>
        <c:auto val="1"/>
        <c:lblAlgn val="ctr"/>
        <c:lblOffset val="100"/>
        <c:noMultiLvlLbl val="0"/>
      </c:catAx>
      <c:valAx>
        <c:axId val="3505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[$€-2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589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945958728635863"/>
          <c:y val="2.0005781952114509E-2"/>
          <c:w val="0.23553458387473691"/>
          <c:h val="8.8608486439195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expenses'!$C$3:$D$3</c:f>
              <c:strCache>
                <c:ptCount val="1"/>
                <c:pt idx="0">
                  <c:v>Yearly 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"/>
              <c:pt idx="0">
                <c:v>October</c:v>
              </c:pt>
              <c:pt idx="1">
                <c:v>November</c:v>
              </c:pt>
              <c:pt idx="2">
                <c:v>December</c:v>
              </c:pt>
            </c:strLit>
          </c:cat>
          <c:val>
            <c:numRef>
              <c:f>('Yearly expenses'!$D$42,'Yearly expenses'!$D$63,'Yearly expenses'!$D$84)</c:f>
              <c:numCache>
                <c:formatCode>#,##0.00\ [$€-1]</c:formatCode>
                <c:ptCount val="3"/>
                <c:pt idx="0">
                  <c:v>1496.64</c:v>
                </c:pt>
                <c:pt idx="1">
                  <c:v>1483.4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2E-46CC-909B-3BD26E50193C}"/>
            </c:ext>
          </c:extLst>
        </c:ser>
        <c:ser>
          <c:idx val="1"/>
          <c:order val="1"/>
          <c:tx>
            <c:strRef>
              <c:f>'Yearly income'!$C$10</c:f>
              <c:strCache>
                <c:ptCount val="1"/>
                <c:pt idx="0">
                  <c:v>Yearly INCOME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Lit>
              <c:ptCount val="3"/>
              <c:pt idx="0">
                <c:v>October</c:v>
              </c:pt>
              <c:pt idx="1">
                <c:v>November</c:v>
              </c:pt>
              <c:pt idx="2">
                <c:v>December</c:v>
              </c:pt>
            </c:strLit>
          </c:cat>
          <c:val>
            <c:numRef>
              <c:f>('Yearly income'!$D$27,'Yearly income'!$D$38,'Yearly income'!$D$49)</c:f>
              <c:numCache>
                <c:formatCode>0.00</c:formatCode>
                <c:ptCount val="3"/>
                <c:pt idx="0">
                  <c:v>1968.0500000000002</c:v>
                </c:pt>
                <c:pt idx="1">
                  <c:v>4470.74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E-46CC-909B-3BD26E501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71183"/>
        <c:axId val="102171663"/>
      </c:lineChart>
      <c:catAx>
        <c:axId val="10217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1663"/>
        <c:crosses val="autoZero"/>
        <c:auto val="1"/>
        <c:lblAlgn val="ctr"/>
        <c:lblOffset val="100"/>
        <c:noMultiLvlLbl val="0"/>
      </c:catAx>
      <c:valAx>
        <c:axId val="1021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€-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D9-4642-A29C-B9F6D10536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D9-4642-A29C-B9F6D10536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D9-4642-A29C-B9F6D10536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D9-4642-A29C-B9F6D10536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689-4806-AB7D-40274D5776FD}"/>
              </c:ext>
            </c:extLst>
          </c:dPt>
          <c:cat>
            <c:strRef>
              <c:f>'Yearly income'!$C$11:$C$15</c:f>
              <c:strCache>
                <c:ptCount val="4"/>
                <c:pt idx="0">
                  <c:v>PoliMi</c:v>
                </c:pt>
                <c:pt idx="1">
                  <c:v>Deddo</c:v>
                </c:pt>
                <c:pt idx="2">
                  <c:v>Other income</c:v>
                </c:pt>
                <c:pt idx="3">
                  <c:v>Cash</c:v>
                </c:pt>
              </c:strCache>
            </c:strRef>
          </c:cat>
          <c:val>
            <c:numRef>
              <c:f>'Yearly income'!$D$11:$D$15</c:f>
              <c:numCache>
                <c:formatCode>#,##0.00\ [$€-1]</c:formatCode>
                <c:ptCount val="5"/>
                <c:pt idx="0">
                  <c:v>5016.96</c:v>
                </c:pt>
                <c:pt idx="1">
                  <c:v>400</c:v>
                </c:pt>
                <c:pt idx="2">
                  <c:v>921.83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9-4E53-81A2-09FD99685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expenses'!$D$5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expenses'!$C$6:$C$19</c:f>
              <c:strCache>
                <c:ptCount val="14"/>
                <c:pt idx="0">
                  <c:v>Restaurants</c:v>
                </c:pt>
                <c:pt idx="1">
                  <c:v>Groceries</c:v>
                </c:pt>
                <c:pt idx="2">
                  <c:v>Pre-paid card</c:v>
                </c:pt>
                <c:pt idx="3">
                  <c:v>Going out</c:v>
                </c:pt>
                <c:pt idx="4">
                  <c:v>Claudia</c:v>
                </c:pt>
                <c:pt idx="5">
                  <c:v>Family</c:v>
                </c:pt>
                <c:pt idx="6">
                  <c:v>Shopping</c:v>
                </c:pt>
                <c:pt idx="7">
                  <c:v>Transportation</c:v>
                </c:pt>
                <c:pt idx="8">
                  <c:v>Personal care</c:v>
                </c:pt>
                <c:pt idx="9">
                  <c:v>Credit cards</c:v>
                </c:pt>
                <c:pt idx="10">
                  <c:v>Gifts / Charity</c:v>
                </c:pt>
                <c:pt idx="11">
                  <c:v>Travel</c:v>
                </c:pt>
                <c:pt idx="12">
                  <c:v>Savings</c:v>
                </c:pt>
                <c:pt idx="13">
                  <c:v>Other</c:v>
                </c:pt>
              </c:strCache>
            </c:strRef>
          </c:cat>
          <c:val>
            <c:numRef>
              <c:f>'Yearly expenses'!$D$6:$D$19</c:f>
              <c:numCache>
                <c:formatCode>#,##0.00\ [$€-1]</c:formatCode>
                <c:ptCount val="14"/>
                <c:pt idx="0">
                  <c:v>0</c:v>
                </c:pt>
                <c:pt idx="1">
                  <c:v>201.85</c:v>
                </c:pt>
                <c:pt idx="2">
                  <c:v>374.13</c:v>
                </c:pt>
                <c:pt idx="3">
                  <c:v>214.06000000000003</c:v>
                </c:pt>
                <c:pt idx="4">
                  <c:v>339.08000000000004</c:v>
                </c:pt>
                <c:pt idx="5">
                  <c:v>86.21</c:v>
                </c:pt>
                <c:pt idx="6">
                  <c:v>422.89</c:v>
                </c:pt>
                <c:pt idx="7">
                  <c:v>303.06</c:v>
                </c:pt>
                <c:pt idx="8">
                  <c:v>465.31</c:v>
                </c:pt>
                <c:pt idx="9">
                  <c:v>81.95</c:v>
                </c:pt>
                <c:pt idx="10">
                  <c:v>280</c:v>
                </c:pt>
                <c:pt idx="11">
                  <c:v>0</c:v>
                </c:pt>
                <c:pt idx="12">
                  <c:v>0</c:v>
                </c:pt>
                <c:pt idx="13">
                  <c:v>211.5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7-4D5A-80A2-8DF062891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658959"/>
        <c:axId val="1793642639"/>
      </c:barChart>
      <c:catAx>
        <c:axId val="179365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642639"/>
        <c:crosses val="autoZero"/>
        <c:auto val="1"/>
        <c:lblAlgn val="ctr"/>
        <c:lblOffset val="100"/>
        <c:noMultiLvlLbl val="0"/>
      </c:catAx>
      <c:valAx>
        <c:axId val="179364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€-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65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19049</xdr:colOff>
      <xdr:row>13</xdr:row>
      <xdr:rowOff>0</xdr:rowOff>
    </xdr:from>
    <xdr:ext cx="6376867" cy="3514384"/>
    <xdr:graphicFrame macro="">
      <xdr:nvGraphicFramePr>
        <xdr:cNvPr id="2" name="Chart 1" descr="Clustered column chart showing projected and actual values for Total Income, Total Expenses, and Total Cash">
          <a:extLst>
            <a:ext uri="{FF2B5EF4-FFF2-40B4-BE49-F238E27FC236}">
              <a16:creationId xmlns:a16="http://schemas.microsoft.com/office/drawing/2014/main" id="{238BE371-311E-47B9-97E0-D2EACEC3D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</xdr:col>
      <xdr:colOff>135954</xdr:colOff>
      <xdr:row>4</xdr:row>
      <xdr:rowOff>203688</xdr:rowOff>
    </xdr:from>
    <xdr:to>
      <xdr:col>5</xdr:col>
      <xdr:colOff>1196730</xdr:colOff>
      <xdr:row>5</xdr:row>
      <xdr:rowOff>138396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D914C6-8E90-EBC5-D967-2479786BD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59038</xdr:colOff>
      <xdr:row>1</xdr:row>
      <xdr:rowOff>109237</xdr:rowOff>
    </xdr:from>
    <xdr:to>
      <xdr:col>5</xdr:col>
      <xdr:colOff>562659</xdr:colOff>
      <xdr:row>8</xdr:row>
      <xdr:rowOff>300337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0D9D6-7D3A-A6DC-50A5-3E6697B54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324098</xdr:colOff>
      <xdr:row>4</xdr:row>
      <xdr:rowOff>199405</xdr:rowOff>
    </xdr:from>
    <xdr:to>
      <xdr:col>24</xdr:col>
      <xdr:colOff>503052</xdr:colOff>
      <xdr:row>20</xdr:row>
      <xdr:rowOff>288636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FCF89-1548-06FA-1312-35A3EA355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ashFlow" displayName="CashFlow" ref="C7:D11" totalsRowCount="1" headerRowDxfId="55" dataDxfId="54" totalsRowDxfId="53">
  <autoFilter ref="C7:D10" xr:uid="{00000000-0009-0000-0100-000002000000}"/>
  <tableColumns count="2">
    <tableColumn id="1" xr3:uid="{00000000-0010-0000-0000-000001000000}" name="Cash Flow" totalsRowLabel="Evaluated Bank Amout" dataDxfId="52" totalsRowDxfId="51"/>
    <tableColumn id="3" xr3:uid="{00000000-0010-0000-0000-000003000000}" name="Actual" totalsRowFunction="custom" dataDxfId="50" totalsRowDxfId="49">
      <totalsRowFormula>D8+D9-D10</totalsRow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Projected, Actual, and Variance Cash Flow for Total Income, Total Expenses &amp; Total Cash are automatically updated based on entries in Monthly Income and Monthly Expenses Worksheet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Income" displayName="Income" ref="C22:D27" totalsRowCount="1" headerRowDxfId="48" dataDxfId="47" totalsRowDxfId="46">
  <autoFilter ref="C22:D26" xr:uid="{00000000-0009-0000-0100-000005000000}"/>
  <tableColumns count="2">
    <tableColumn id="1" xr3:uid="{00000000-0010-0000-0100-000001000000}" name="Monthly Income" totalsRowLabel="Total Income" dataDxfId="45" totalsRowDxfId="44"/>
    <tableColumn id="3" xr3:uid="{00000000-0010-0000-0100-000003000000}" name="Actual" totalsRowFunction="sum" dataDxfId="43" totalsRowDxfId="42" dataCellStyle="Currency">
      <calculatedColumnFormula>SUMIFS('List Income'!$C$3:$C$100000,
        'List Income'!$B$3:$B$100000, 'Yearly income'!$C11,
        'List Income'!$A$3:$A$100000, "&gt;=" &amp; DATE(2025, 10, 1),
        'List Income'!$A$3:$A$100000, "&lt;"  &amp; DATE(2025, 11,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F399855-3BFE-48F4-9D56-F7B0B018C8AF}" name="Income18" displayName="Income18" ref="C33:D38" totalsRowCount="1" headerRowDxfId="41" dataDxfId="40" totalsRowDxfId="39">
  <autoFilter ref="C33:D37" xr:uid="{CF399855-3BFE-48F4-9D56-F7B0B018C8AF}"/>
  <tableColumns count="2">
    <tableColumn id="1" xr3:uid="{46C1B9BE-3481-409B-9690-DB61A39E83A0}" name="Monthly Income" totalsRowLabel="Total Income" dataDxfId="38" totalsRowDxfId="37"/>
    <tableColumn id="3" xr3:uid="{36916EC0-3E71-44F0-BE74-D55AF2EE4462}" name="Actual" totalsRowFunction="sum" dataDxfId="36" totalsRowDxfId="35" dataCellStyle="Currency">
      <calculatedColumnFormula>SUMIFS('List Income'!$C$3:$C$100000,
        'List Income'!$B$3:$B$100000, 'Yearly income'!$C11,
        'List Income'!$A$3:$A$100000, "&gt;=" &amp; DATE(2025, 11, 1),
        'List Income'!$A$3:$A$100000, "&lt;"  &amp; DATE(2025, 12,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E5F7A0F-BB62-496F-99BB-D34619118D61}" name="Income19" displayName="Income19" ref="C44:D49" totalsRowCount="1" headerRowDxfId="34" dataDxfId="33" totalsRowDxfId="32">
  <autoFilter ref="C44:D48" xr:uid="{CE5F7A0F-BB62-496F-99BB-D34619118D61}"/>
  <tableColumns count="2">
    <tableColumn id="1" xr3:uid="{D01CDD62-41DF-4CC2-8E6A-7DA8C483D4DF}" name="Monthly Income" totalsRowLabel="Total Income" dataDxfId="31" totalsRowDxfId="30"/>
    <tableColumn id="3" xr3:uid="{8078B1E2-533C-4EE1-85B1-A3174F679BFA}" name="Actual" totalsRowFunction="sum" dataDxfId="29" totalsRowDxfId="28" dataCellStyle="Currency">
      <calculatedColumnFormula>SUMIFS('List Income'!$C$3:$C$100000,
        'List Income'!$B$3:$B$100000, 'Yearly income'!$C11,
        'List Income'!$A$3:$A$100000, "&gt;=" &amp; DATE(2025, 12, 1),
        'List Income'!$A$3:$A$100000, "&lt;"  &amp; DATE(2026, 1,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Income, Projected and Actual Income from each source, in this table. Variance and Total Income are automatically calculate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Expenses" displayName="Expenses" ref="C5:D20" totalsRowCount="1" headerRowDxfId="27" dataDxfId="26" totalsRowDxfId="25">
  <autoFilter ref="C5:D19" xr:uid="{00000000-0009-0000-0100-000009000000}"/>
  <tableColumns count="2">
    <tableColumn id="1" xr3:uid="{00000000-0010-0000-0200-000001000000}" name="Monthly expenses" totalsRowLabel="Total expenses" dataDxfId="24" totalsRowDxfId="23"/>
    <tableColumn id="3" xr3:uid="{00000000-0010-0000-0200-000003000000}" name="Actual" totalsRowFunction="sum" dataDxfId="22" totalsRowDxfId="21" dataCellStyle="Currency">
      <calculatedColumnFormula>SUM(D28+D49+D70)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6434A-AA65-4297-B1CF-8CA2A13F3E43}" name="Expenses2" displayName="Expenses2" ref="C27:D42" totalsRowCount="1" headerRowDxfId="20" dataDxfId="19" totalsRowDxfId="18">
  <autoFilter ref="C27:D41" xr:uid="{3646434A-AA65-4297-B1CF-8CA2A13F3E43}"/>
  <tableColumns count="2">
    <tableColumn id="1" xr3:uid="{B1393354-A002-4BD6-9344-CBE1992D8AC5}" name="Monthly expenses" totalsRowLabel="Total expenses" dataDxfId="17" totalsRowDxfId="16"/>
    <tableColumn id="3" xr3:uid="{950EF7DC-D5DD-4719-BC43-0A8D71CAAA51}" name="Actual" totalsRowFunction="sum" dataDxfId="15" totalsRowDxfId="14" dataCellStyle="Currency">
      <calculatedColumnFormula>SUMIFS('List Expenses'!$C$3:$C$100002,
        'List Expenses'!$B$3:$B$100002, 'Yearly expenses'!$C6,
        'List Expenses'!$A$3:$A$100002, "&gt;=" &amp; DATE(2025, 10, 1),
        'List Expenses'!$A$3:$A$100002, "&lt;"  &amp; DATE(2025, 11,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B99637-A2B1-48B5-8121-C8CB8506178F}" name="Expenses4" displayName="Expenses4" ref="C48:D63" totalsRowCount="1" headerRowDxfId="13" dataDxfId="12" totalsRowDxfId="11">
  <autoFilter ref="C48:D62" xr:uid="{17B99637-A2B1-48B5-8121-C8CB8506178F}"/>
  <tableColumns count="2">
    <tableColumn id="1" xr3:uid="{24DB168B-C0CE-4D7F-93F3-A1A3B1620A20}" name="Monthly expenses" totalsRowLabel="Total expenses" dataDxfId="10" totalsRowDxfId="9"/>
    <tableColumn id="3" xr3:uid="{B6CF974A-8705-4451-BD58-07968CB887F0}" name="Actual" totalsRowFunction="sum" dataDxfId="8" totalsRowDxfId="7" dataCellStyle="Currency">
      <calculatedColumnFormula>SUMIFS('List Expenses'!$C$3:$C$100002,
        'List Expenses'!$B$3:$B$100002, 'Yearly expenses'!$C6,
        'List Expenses'!$A$3:$A$100002, "&gt;=" &amp; DATE(2025, 11, 1),
        'List Expenses'!$A$3:$A$100002, "&lt;"  &amp; DATE(2025, 12,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C5EEF4-F64E-4749-B579-9FAF68F97FD1}" name="Expenses5" displayName="Expenses5" ref="C69:D84" totalsRowCount="1" headerRowDxfId="6" dataDxfId="5" totalsRowDxfId="4">
  <autoFilter ref="C69:D83" xr:uid="{23C5EEF4-F64E-4749-B579-9FAF68F97FD1}"/>
  <tableColumns count="2">
    <tableColumn id="1" xr3:uid="{C7F9CC92-4CBA-4054-A153-D35A8E2258B4}" name="Monthly expenses" totalsRowLabel="Total expenses" dataDxfId="3" totalsRowDxfId="2"/>
    <tableColumn id="3" xr3:uid="{C5DC2F54-8F5D-480A-8821-CED64242EC36}" name="Actual" totalsRowFunction="sum" dataDxfId="1" totalsRowDxfId="0" dataCellStyle="Currency">
      <calculatedColumnFormula>SUMIFS('List Expenses'!$C$3:$C$100002,
        'List Expenses'!$B$3:$B$100002, 'Yearly expenses'!$C6,
        'List Expenses'!$A$3:$A$100002, "&gt;=" &amp; DATE(2025, 12, 1),
        'List Expenses'!$A$3:$A$100002, "&lt;"  &amp; DATE(2026, 1, 1))</calculatedColumnFormula>
    </tableColumn>
  </tableColumns>
  <tableStyleInfo name="Monthly Family Budget" showFirstColumn="1" showLastColumn="1" showRowStripes="1" showColumnStripes="1"/>
  <extLst>
    <ext xmlns:x14="http://schemas.microsoft.com/office/spreadsheetml/2009/9/main" uri="{504A1905-F514-4f6f-8877-14C23A59335A}">
      <x14:table altTextSummary="Enter Monthly Expenses, Projected and Actual Expenses, in this table. Variance and Total Expenses are automatically calculated"/>
    </ext>
  </extLst>
</table>
</file>

<file path=xl/theme/theme1.xml><?xml version="1.0" encoding="utf-8"?>
<a:theme xmlns:a="http://schemas.openxmlformats.org/drawingml/2006/main" name="Office Theme">
  <a:themeElements>
    <a:clrScheme name="tf00000075">
      <a:dk1>
        <a:srgbClr val="000000"/>
      </a:dk1>
      <a:lt1>
        <a:srgbClr val="FFFFFF"/>
      </a:lt1>
      <a:dk2>
        <a:srgbClr val="44546A"/>
      </a:dk2>
      <a:lt2>
        <a:srgbClr val="ECE9E2"/>
      </a:lt2>
      <a:accent1>
        <a:srgbClr val="CC4930"/>
      </a:accent1>
      <a:accent2>
        <a:srgbClr val="D67F8D"/>
      </a:accent2>
      <a:accent3>
        <a:srgbClr val="499996"/>
      </a:accent3>
      <a:accent4>
        <a:srgbClr val="C9E9D2"/>
      </a:accent4>
      <a:accent5>
        <a:srgbClr val="9885DF"/>
      </a:accent5>
      <a:accent6>
        <a:srgbClr val="E0CDE2"/>
      </a:accent6>
      <a:hlink>
        <a:srgbClr val="0563C1"/>
      </a:hlink>
      <a:folHlink>
        <a:srgbClr val="954F72"/>
      </a:folHlink>
    </a:clrScheme>
    <a:fontScheme name="Custom 58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/>
    <pageSetUpPr fitToPage="1"/>
  </sheetPr>
  <dimension ref="B1:M12"/>
  <sheetViews>
    <sheetView showGridLines="0" tabSelected="1" zoomScale="78" zoomScaleNormal="100" workbookViewId="0">
      <selection activeCell="M5" sqref="M5"/>
    </sheetView>
  </sheetViews>
  <sheetFormatPr defaultColWidth="9" defaultRowHeight="30" customHeight="1" x14ac:dyDescent="0.3"/>
  <cols>
    <col min="1" max="2" width="2.5" customWidth="1"/>
    <col min="3" max="3" width="40.83203125" style="5" customWidth="1"/>
    <col min="4" max="4" width="56.75" style="1" customWidth="1"/>
    <col min="5" max="6" width="15.83203125" style="1" customWidth="1"/>
    <col min="7" max="7" width="2.5" style="1" customWidth="1"/>
    <col min="8" max="8" width="2.5" customWidth="1"/>
  </cols>
  <sheetData>
    <row r="1" spans="2:13" ht="18" customHeight="1" x14ac:dyDescent="0.3"/>
    <row r="2" spans="2:13" ht="18" customHeight="1" x14ac:dyDescent="0.3">
      <c r="B2" s="2"/>
      <c r="C2" s="6"/>
      <c r="D2" s="3"/>
      <c r="E2" s="3"/>
      <c r="F2" s="3"/>
      <c r="G2" s="3"/>
    </row>
    <row r="3" spans="2:13" ht="70" customHeight="1" x14ac:dyDescent="1.7">
      <c r="B3" s="2"/>
      <c r="C3" s="44" t="s">
        <v>28</v>
      </c>
      <c r="D3" s="45"/>
      <c r="E3" s="46">
        <v>2025</v>
      </c>
      <c r="F3" s="47"/>
      <c r="G3" s="3"/>
    </row>
    <row r="4" spans="2:13" ht="45" customHeight="1" x14ac:dyDescent="0.3">
      <c r="B4" s="2"/>
      <c r="C4" s="17" t="s">
        <v>29</v>
      </c>
      <c r="D4" s="11"/>
      <c r="E4" s="11"/>
      <c r="F4" s="11"/>
      <c r="G4" s="3"/>
    </row>
    <row r="5" spans="2:13" ht="349.5" customHeight="1" x14ac:dyDescent="0.3">
      <c r="B5" s="2"/>
      <c r="C5" s="6"/>
      <c r="D5" s="3"/>
      <c r="E5" s="3"/>
      <c r="F5" s="3"/>
      <c r="G5" s="3"/>
    </row>
    <row r="6" spans="2:13" ht="40" customHeight="1" thickBot="1" x14ac:dyDescent="0.35">
      <c r="B6" s="2"/>
      <c r="C6" s="6"/>
      <c r="D6" s="3"/>
      <c r="E6" s="3"/>
      <c r="F6" s="3"/>
      <c r="G6" s="3"/>
    </row>
    <row r="7" spans="2:13" ht="40" customHeight="1" x14ac:dyDescent="0.3">
      <c r="B7" s="2"/>
      <c r="C7" s="18" t="s">
        <v>0</v>
      </c>
      <c r="D7" s="12" t="s">
        <v>1</v>
      </c>
      <c r="E7" s="22"/>
      <c r="F7" s="23"/>
      <c r="G7" s="2"/>
    </row>
    <row r="8" spans="2:13" ht="40" customHeight="1" x14ac:dyDescent="0.3">
      <c r="B8" s="2"/>
      <c r="C8" s="28" t="s">
        <v>63</v>
      </c>
      <c r="D8" s="43">
        <f>630+2*35.11+400</f>
        <v>1100.22</v>
      </c>
      <c r="E8" s="42"/>
      <c r="F8" s="2"/>
      <c r="G8" s="2"/>
    </row>
    <row r="9" spans="2:13" ht="40" customHeight="1" x14ac:dyDescent="0.3">
      <c r="B9" s="2"/>
      <c r="C9" s="28" t="s">
        <v>10</v>
      </c>
      <c r="D9" s="39">
        <f>'Yearly income'!D10</f>
        <v>6438.79</v>
      </c>
      <c r="E9" s="4"/>
      <c r="F9" s="2"/>
      <c r="G9" s="2"/>
      <c r="M9" t="s">
        <v>15</v>
      </c>
    </row>
    <row r="10" spans="2:13" ht="40" customHeight="1" x14ac:dyDescent="0.3">
      <c r="B10" s="2"/>
      <c r="C10" s="29" t="s">
        <v>11</v>
      </c>
      <c r="D10" s="39">
        <f>Expenses[[#Totals],[Actual]]</f>
        <v>2980.04</v>
      </c>
      <c r="E10" s="4"/>
      <c r="F10" s="2"/>
      <c r="G10" s="2"/>
    </row>
    <row r="11" spans="2:13" ht="40" customHeight="1" x14ac:dyDescent="0.3">
      <c r="B11" s="2"/>
      <c r="C11" s="14" t="s">
        <v>43</v>
      </c>
      <c r="D11" s="35">
        <f>D8+D9-D10</f>
        <v>4558.97</v>
      </c>
      <c r="E11" s="4"/>
      <c r="F11" s="2"/>
      <c r="G11" s="2"/>
    </row>
    <row r="12" spans="2:13" ht="40" customHeight="1" x14ac:dyDescent="0.3">
      <c r="B12" s="2"/>
      <c r="C12" s="14" t="s">
        <v>49</v>
      </c>
      <c r="D12" s="40">
        <f>SUM(-CashFlow[[#Totals],[Actual]], 4558.97)</f>
        <v>0</v>
      </c>
      <c r="E12" s="3"/>
      <c r="F12" s="3"/>
      <c r="G12" s="3"/>
    </row>
  </sheetData>
  <mergeCells count="2">
    <mergeCell ref="C3:D3"/>
    <mergeCell ref="E3:F3"/>
  </mergeCells>
  <dataValidations count="5">
    <dataValidation allowBlank="1" showInputMessage="1" showErrorMessage="1" prompt="Enter Month in this cell" sqref="C3" xr:uid="{00000000-0002-0000-0000-000001000000}"/>
    <dataValidation allowBlank="1" showInputMessage="1" showErrorMessage="1" prompt="Title of this worksheet is in this cell. Enter Monthly Income in Monthly Income worksheet and Monthly Expenses in Monthly Expenses worksheet" sqref="C4" xr:uid="{00000000-0002-0000-0000-000003000000}"/>
    <dataValidation allowBlank="1" showInputMessage="1" showErrorMessage="1" prompt="Clustered column chart depicting projected and actual values for Total Income, Total Expenses, and Total Cash" sqref="C5" xr:uid="{00000000-0002-0000-0000-000004000000}"/>
    <dataValidation allowBlank="1" showInputMessage="1" showErrorMessage="1" prompt="Total Income and Total Expenses are automatically updated in this column under this heading" sqref="C7" xr:uid="{00000000-0002-0000-0000-000005000000}"/>
    <dataValidation allowBlank="1" showInputMessage="1" showErrorMessage="1" prompt="Actual amount is automatically updated this column under this heading" sqref="D7:D8" xr:uid="{00000000-0002-0000-0000-000007000000}"/>
  </dataValidations>
  <printOptions horizontalCentered="1"/>
  <pageMargins left="0.3" right="0.3" top="0.4" bottom="0.75" header="0.3" footer="0.3"/>
  <pageSetup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/>
    <pageSetUpPr fitToPage="1"/>
  </sheetPr>
  <dimension ref="B2:P50"/>
  <sheetViews>
    <sheetView showGridLines="0" workbookViewId="0">
      <selection activeCell="O14" sqref="O14"/>
    </sheetView>
  </sheetViews>
  <sheetFormatPr defaultColWidth="9" defaultRowHeight="30" customHeight="1" x14ac:dyDescent="0.3"/>
  <cols>
    <col min="1" max="2" width="2.5" customWidth="1"/>
    <col min="3" max="3" width="40.83203125" style="5" customWidth="1"/>
    <col min="4" max="6" width="15.83203125" customWidth="1"/>
    <col min="7" max="8" width="2.5" customWidth="1"/>
  </cols>
  <sheetData>
    <row r="2" spans="3:7" ht="30" customHeight="1" x14ac:dyDescent="0.3">
      <c r="C2" s="6"/>
      <c r="D2" s="2"/>
      <c r="E2" s="2"/>
      <c r="F2" s="2"/>
      <c r="G2" s="2"/>
    </row>
    <row r="3" spans="3:7" ht="30" customHeight="1" x14ac:dyDescent="0.3">
      <c r="C3" s="6"/>
      <c r="D3" s="2"/>
      <c r="E3" s="2"/>
      <c r="F3" s="2"/>
      <c r="G3" s="2"/>
    </row>
    <row r="4" spans="3:7" ht="30" customHeight="1" x14ac:dyDescent="0.3">
      <c r="C4" s="6"/>
      <c r="D4" s="2"/>
      <c r="E4" s="2"/>
      <c r="F4" s="2"/>
      <c r="G4" s="2"/>
    </row>
    <row r="5" spans="3:7" ht="30" customHeight="1" x14ac:dyDescent="0.3">
      <c r="C5" s="6"/>
      <c r="D5" s="2"/>
      <c r="E5" s="2"/>
      <c r="F5" s="2"/>
      <c r="G5" s="2"/>
    </row>
    <row r="6" spans="3:7" ht="30" customHeight="1" x14ac:dyDescent="0.3">
      <c r="C6" s="6"/>
      <c r="D6" s="2"/>
      <c r="E6" s="2"/>
      <c r="F6" s="2"/>
      <c r="G6" s="2"/>
    </row>
    <row r="7" spans="3:7" ht="30" customHeight="1" x14ac:dyDescent="0.3">
      <c r="C7" s="6"/>
      <c r="D7" s="2"/>
      <c r="E7" s="2"/>
      <c r="F7" s="2"/>
      <c r="G7" s="2"/>
    </row>
    <row r="8" spans="3:7" ht="30" customHeight="1" x14ac:dyDescent="0.3">
      <c r="C8" s="6"/>
      <c r="D8" s="2"/>
      <c r="E8" s="2"/>
      <c r="F8" s="2"/>
      <c r="G8" s="2"/>
    </row>
    <row r="9" spans="3:7" ht="30" customHeight="1" x14ac:dyDescent="0.3">
      <c r="C9" s="6"/>
      <c r="D9" s="2"/>
      <c r="E9" s="2"/>
      <c r="F9" s="2"/>
      <c r="G9" s="2"/>
    </row>
    <row r="10" spans="3:7" ht="30" customHeight="1" x14ac:dyDescent="0.3">
      <c r="C10" s="26" t="s">
        <v>34</v>
      </c>
      <c r="D10" s="37">
        <f>SUM(D11:D14)</f>
        <v>6438.79</v>
      </c>
      <c r="E10" s="2"/>
      <c r="F10" s="2"/>
      <c r="G10" s="2"/>
    </row>
    <row r="11" spans="3:7" ht="30" customHeight="1" x14ac:dyDescent="0.3">
      <c r="C11" s="6" t="s">
        <v>16</v>
      </c>
      <c r="D11" s="38">
        <f>SUM(D23+D34+D45)</f>
        <v>5016.96</v>
      </c>
      <c r="E11" s="2"/>
      <c r="F11" s="2"/>
      <c r="G11" s="2"/>
    </row>
    <row r="12" spans="3:7" ht="30" customHeight="1" x14ac:dyDescent="0.3">
      <c r="C12" s="6" t="s">
        <v>17</v>
      </c>
      <c r="D12" s="38">
        <f>SUM(D24+D35+D46)</f>
        <v>400</v>
      </c>
      <c r="E12" s="2"/>
      <c r="F12" s="2"/>
      <c r="G12" s="2"/>
    </row>
    <row r="13" spans="3:7" ht="30" customHeight="1" x14ac:dyDescent="0.3">
      <c r="C13" s="6" t="s">
        <v>19</v>
      </c>
      <c r="D13" s="38">
        <f>SUM(D25+D36+D47)</f>
        <v>921.83</v>
      </c>
      <c r="E13" s="2"/>
      <c r="F13" s="2"/>
      <c r="G13" s="2"/>
    </row>
    <row r="14" spans="3:7" ht="30" customHeight="1" x14ac:dyDescent="0.3">
      <c r="C14" s="6" t="s">
        <v>18</v>
      </c>
      <c r="D14" s="38">
        <f>SUM(D26+D37+D48)</f>
        <v>100</v>
      </c>
      <c r="E14" s="2"/>
      <c r="F14" s="2"/>
      <c r="G14" s="2"/>
    </row>
    <row r="15" spans="3:7" ht="30" customHeight="1" x14ac:dyDescent="0.3">
      <c r="C15" s="6"/>
      <c r="D15" s="38"/>
      <c r="E15" s="2"/>
      <c r="F15" s="2"/>
      <c r="G15" s="2"/>
    </row>
    <row r="18" spans="2:16" ht="18" customHeight="1" x14ac:dyDescent="0.3">
      <c r="P18" s="27"/>
    </row>
    <row r="19" spans="2:16" ht="18" customHeight="1" x14ac:dyDescent="0.3">
      <c r="B19" s="2"/>
      <c r="C19" s="6"/>
      <c r="D19" s="2"/>
      <c r="E19" s="2"/>
    </row>
    <row r="20" spans="2:16" ht="70" customHeight="1" thickBot="1" x14ac:dyDescent="0.35">
      <c r="B20" s="2"/>
      <c r="C20" s="24" t="s">
        <v>20</v>
      </c>
      <c r="D20" s="25"/>
      <c r="E20" s="25"/>
    </row>
    <row r="21" spans="2:16" ht="18" customHeight="1" x14ac:dyDescent="0.3">
      <c r="B21" s="2"/>
      <c r="C21" s="6"/>
      <c r="D21" s="2"/>
      <c r="E21" s="2"/>
    </row>
    <row r="22" spans="2:16" ht="30" customHeight="1" x14ac:dyDescent="0.3">
      <c r="B22" s="2"/>
      <c r="C22" s="21" t="s">
        <v>3</v>
      </c>
      <c r="D22" s="15" t="s">
        <v>1</v>
      </c>
      <c r="E22" s="2"/>
    </row>
    <row r="23" spans="2:16" ht="30" customHeight="1" x14ac:dyDescent="0.3">
      <c r="B23" s="2"/>
      <c r="C23" s="14" t="s">
        <v>16</v>
      </c>
      <c r="D23" s="32">
        <f>SUMIFS('List Income'!$C$3:$C$100000,
        'List Income'!$B$3:$B$100000, 'Yearly income'!$C11,
        'List Income'!$A$3:$A$100000, "&gt;=" &amp; DATE(2025, 10, 1),
        'List Income'!$A$3:$A$100000, "&lt;"  &amp; DATE(2025, 11, 1))</f>
        <v>1096.22</v>
      </c>
      <c r="E23" s="2"/>
    </row>
    <row r="24" spans="2:16" ht="30" customHeight="1" x14ac:dyDescent="0.3">
      <c r="B24" s="2"/>
      <c r="C24" s="14" t="s">
        <v>17</v>
      </c>
      <c r="D24" s="32">
        <f>SUMIFS('List Income'!$C$3:$C$100000,
        'List Income'!$B$3:$B$100000, 'Yearly income'!$C12,
        'List Income'!$A$3:$A$100000, "&gt;=" &amp; DATE(2025, 10, 1),
        'List Income'!$A$3:$A$100000, "&lt;"  &amp; DATE(2025, 11, 1))</f>
        <v>0</v>
      </c>
      <c r="E24" s="2"/>
    </row>
    <row r="25" spans="2:16" ht="30" customHeight="1" x14ac:dyDescent="0.3">
      <c r="B25" s="2"/>
      <c r="C25" s="14" t="s">
        <v>4</v>
      </c>
      <c r="D25" s="32">
        <f>SUMIFS('List Income'!$C$3:$C$100000,
        'List Income'!$B$3:$B$100000, 'Yearly income'!$C13,
        'List Income'!$A$3:$A$100000, "&gt;=" &amp; DATE(2025, 10, 1),
        'List Income'!$A$3:$A$100000, "&lt;"  &amp; DATE(2025, 11, 1))</f>
        <v>871.83</v>
      </c>
      <c r="E25" s="2"/>
    </row>
    <row r="26" spans="2:16" ht="30" customHeight="1" x14ac:dyDescent="0.3">
      <c r="B26" s="2"/>
      <c r="C26" s="14" t="s">
        <v>18</v>
      </c>
      <c r="D26" s="32">
        <f>SUMIFS('List Income'!$C$3:$C$100000,
        'List Income'!$B$3:$B$100000, 'Yearly income'!$C14,
        'List Income'!$A$3:$A$100000, "&gt;=" &amp; DATE(2025, 10, 1),
        'List Income'!$A$3:$A$100000, "&lt;"  &amp; DATE(2025, 11, 1))</f>
        <v>0</v>
      </c>
      <c r="E26" s="2"/>
    </row>
    <row r="27" spans="2:16" ht="30" customHeight="1" x14ac:dyDescent="0.3">
      <c r="B27" s="2"/>
      <c r="C27" s="21" t="s">
        <v>2</v>
      </c>
      <c r="D27" s="33">
        <f>SUBTOTAL(109,Income[Actual])</f>
        <v>1968.0500000000002</v>
      </c>
      <c r="E27" s="2"/>
    </row>
    <row r="28" spans="2:16" ht="30" customHeight="1" x14ac:dyDescent="0.3">
      <c r="B28" s="2"/>
      <c r="C28" s="6"/>
      <c r="D28" s="2"/>
      <c r="E28" s="2"/>
    </row>
    <row r="30" spans="2:16" ht="30" customHeight="1" x14ac:dyDescent="0.3">
      <c r="B30" s="2"/>
      <c r="C30" s="6"/>
      <c r="D30" s="2"/>
      <c r="E30" s="2"/>
    </row>
    <row r="31" spans="2:16" ht="30" customHeight="1" thickBot="1" x14ac:dyDescent="0.35">
      <c r="B31" s="2"/>
      <c r="C31" s="24" t="s">
        <v>21</v>
      </c>
      <c r="D31" s="25"/>
      <c r="E31" s="25"/>
    </row>
    <row r="32" spans="2:16" ht="30" customHeight="1" x14ac:dyDescent="0.3">
      <c r="B32" s="2"/>
      <c r="C32" s="6"/>
      <c r="D32" s="2"/>
      <c r="E32" s="2"/>
    </row>
    <row r="33" spans="2:5" ht="30" customHeight="1" x14ac:dyDescent="0.3">
      <c r="B33" s="2"/>
      <c r="C33" s="21" t="s">
        <v>3</v>
      </c>
      <c r="D33" s="15" t="s">
        <v>1</v>
      </c>
      <c r="E33" s="2"/>
    </row>
    <row r="34" spans="2:5" ht="30" customHeight="1" x14ac:dyDescent="0.3">
      <c r="B34" s="2"/>
      <c r="C34" s="14" t="s">
        <v>16</v>
      </c>
      <c r="D34" s="32">
        <f>SUMIFS('List Income'!$C$3:$C$100000,
        'List Income'!$B$3:$B$100000, 'Yearly income'!$C11,
        'List Income'!$A$3:$A$100000, "&gt;=" &amp; DATE(2025, 11, 1),
        'List Income'!$A$3:$A$100000, "&lt;"  &amp; DATE(2025, 12, 1))</f>
        <v>3920.74</v>
      </c>
      <c r="E34" s="2"/>
    </row>
    <row r="35" spans="2:5" ht="30" customHeight="1" x14ac:dyDescent="0.3">
      <c r="B35" s="2"/>
      <c r="C35" s="14" t="s">
        <v>17</v>
      </c>
      <c r="D35" s="32">
        <f>SUMIFS('List Income'!$C$3:$C$100000,
        'List Income'!$B$3:$B$100000, 'Yearly income'!$C12,
        'List Income'!$A$3:$A$100000, "&gt;=" &amp; DATE(2025, 11, 1),
        'List Income'!$A$3:$A$100000, "&lt;"  &amp; DATE(2025, 12, 1))</f>
        <v>400</v>
      </c>
      <c r="E35" s="2"/>
    </row>
    <row r="36" spans="2:5" ht="30" customHeight="1" x14ac:dyDescent="0.3">
      <c r="B36" s="2"/>
      <c r="C36" s="14" t="s">
        <v>4</v>
      </c>
      <c r="D36" s="32">
        <f>SUMIFS('List Income'!$C$3:$C$100000,
        'List Income'!$B$3:$B$100000, 'Yearly income'!$C13,
        'List Income'!$A$3:$A$100000, "&gt;=" &amp; DATE(2025, 11, 1),
        'List Income'!$A$3:$A$100000, "&lt;"  &amp; DATE(2025, 12, 1))</f>
        <v>50</v>
      </c>
      <c r="E36" s="2"/>
    </row>
    <row r="37" spans="2:5" ht="30" customHeight="1" x14ac:dyDescent="0.3">
      <c r="B37" s="2"/>
      <c r="C37" s="14" t="s">
        <v>18</v>
      </c>
      <c r="D37" s="32">
        <f>SUMIFS('List Income'!$C$3:$C$100000,
        'List Income'!$B$3:$B$100000, 'Yearly income'!$C14,
        'List Income'!$A$3:$A$100000, "&gt;=" &amp; DATE(2025, 11, 1),
        'List Income'!$A$3:$A$100000, "&lt;"  &amp; DATE(2025, 12, 1))</f>
        <v>100</v>
      </c>
      <c r="E37" s="2"/>
    </row>
    <row r="38" spans="2:5" ht="30" customHeight="1" x14ac:dyDescent="0.3">
      <c r="B38" s="2"/>
      <c r="C38" s="21" t="s">
        <v>2</v>
      </c>
      <c r="D38" s="33">
        <f>SUBTOTAL(109,Income18[Actual])</f>
        <v>4470.74</v>
      </c>
      <c r="E38" s="2"/>
    </row>
    <row r="39" spans="2:5" ht="30" customHeight="1" x14ac:dyDescent="0.3">
      <c r="B39" s="2"/>
      <c r="C39" s="6"/>
      <c r="D39" s="2"/>
      <c r="E39" s="2"/>
    </row>
    <row r="41" spans="2:5" ht="30" customHeight="1" x14ac:dyDescent="0.3">
      <c r="B41" s="2"/>
      <c r="C41" s="6"/>
      <c r="D41" s="2"/>
      <c r="E41" s="2"/>
    </row>
    <row r="42" spans="2:5" ht="30" customHeight="1" thickBot="1" x14ac:dyDescent="0.35">
      <c r="B42" s="2"/>
      <c r="C42" s="24" t="s">
        <v>22</v>
      </c>
      <c r="D42" s="25"/>
      <c r="E42" s="25"/>
    </row>
    <row r="43" spans="2:5" ht="30" customHeight="1" x14ac:dyDescent="0.3">
      <c r="B43" s="2"/>
      <c r="C43" s="6"/>
      <c r="D43" s="2"/>
      <c r="E43" s="2"/>
    </row>
    <row r="44" spans="2:5" ht="30" customHeight="1" x14ac:dyDescent="0.3">
      <c r="B44" s="2"/>
      <c r="C44" s="21" t="s">
        <v>3</v>
      </c>
      <c r="D44" s="15" t="s">
        <v>1</v>
      </c>
      <c r="E44" s="2"/>
    </row>
    <row r="45" spans="2:5" ht="30" customHeight="1" x14ac:dyDescent="0.3">
      <c r="B45" s="2"/>
      <c r="C45" s="14" t="s">
        <v>16</v>
      </c>
      <c r="D45" s="32">
        <f>SUMIFS('List Income'!$C$3:$C$100000,
        'List Income'!$B$3:$B$100000, 'Yearly income'!$C11,
        'List Income'!$A$3:$A$100000, "&gt;=" &amp; DATE(2025, 12, 1),
        'List Income'!$A$3:$A$100000, "&lt;"  &amp; DATE(2026, 1, 1))</f>
        <v>0</v>
      </c>
      <c r="E45" s="2"/>
    </row>
    <row r="46" spans="2:5" ht="30" customHeight="1" x14ac:dyDescent="0.3">
      <c r="B46" s="2"/>
      <c r="C46" s="14" t="s">
        <v>17</v>
      </c>
      <c r="D46" s="32">
        <f>SUMIFS('List Income'!$C$3:$C$100000,
        'List Income'!$B$3:$B$100000, 'Yearly income'!$C12,
        'List Income'!$A$3:$A$100000, "&gt;=" &amp; DATE(2025, 12, 1),
        'List Income'!$A$3:$A$100000, "&lt;"  &amp; DATE(2026, 1, 1))</f>
        <v>0</v>
      </c>
      <c r="E46" s="2"/>
    </row>
    <row r="47" spans="2:5" ht="30" customHeight="1" x14ac:dyDescent="0.3">
      <c r="B47" s="2"/>
      <c r="C47" s="14" t="s">
        <v>4</v>
      </c>
      <c r="D47" s="32">
        <f>SUMIFS('List Income'!$C$3:$C$100000,
        'List Income'!$B$3:$B$100000, 'Yearly income'!$C13,
        'List Income'!$A$3:$A$100000, "&gt;=" &amp; DATE(2025, 12, 1),
        'List Income'!$A$3:$A$100000, "&lt;"  &amp; DATE(2026, 1, 1))</f>
        <v>0</v>
      </c>
      <c r="E47" s="2"/>
    </row>
    <row r="48" spans="2:5" ht="30" customHeight="1" x14ac:dyDescent="0.3">
      <c r="B48" s="2"/>
      <c r="C48" s="14" t="s">
        <v>18</v>
      </c>
      <c r="D48" s="32">
        <f>SUMIFS('List Income'!$C$3:$C$100000,
        'List Income'!$B$3:$B$100000, 'Yearly income'!$C14,
        'List Income'!$A$3:$A$100000, "&gt;=" &amp; DATE(2025, 12, 1),
        'List Income'!$A$3:$A$100000, "&lt;"  &amp; DATE(2026, 1, 1))</f>
        <v>0</v>
      </c>
      <c r="E48" s="2"/>
    </row>
    <row r="49" spans="2:5" ht="30" customHeight="1" x14ac:dyDescent="0.3">
      <c r="B49" s="2"/>
      <c r="C49" s="21" t="s">
        <v>2</v>
      </c>
      <c r="D49" s="33">
        <f>SUBTOTAL(109,Income19[Actual])</f>
        <v>0</v>
      </c>
      <c r="E49" s="2"/>
    </row>
    <row r="50" spans="2:5" ht="30" customHeight="1" x14ac:dyDescent="0.3">
      <c r="B50" s="2"/>
      <c r="C50" s="6"/>
      <c r="D50" s="2"/>
      <c r="E50" s="2"/>
    </row>
  </sheetData>
  <phoneticPr fontId="23" type="noConversion"/>
  <dataValidations disablePrompts="1" count="4">
    <dataValidation allowBlank="1" showInputMessage="1" showErrorMessage="1" prompt="Enter Monthly Income in this worksheet" sqref="A18" xr:uid="{00000000-0002-0000-0100-000000000000}"/>
    <dataValidation allowBlank="1" showInputMessage="1" showErrorMessage="1" prompt="Enter Monthly Income in this column under this heading. Use heading filters to find specific entries" sqref="C22:D22 C33:D33 C44:D44" xr:uid="{00000000-0002-0000-0100-000002000000}"/>
    <dataValidation allowBlank="1" showInputMessage="1" showErrorMessage="1" prompt="Enter Actual income in this column under this heading" sqref="D22 D33 D44" xr:uid="{00000000-0002-0000-0100-000004000000}"/>
    <dataValidation allowBlank="1" showInputMessage="1" showErrorMessage="1" prompt="Enter Month in this cell" sqref="C20 C31 C42" xr:uid="{269E6502-3BE7-6148-8479-B989ACFF5BD1}"/>
  </dataValidations>
  <printOptions horizontalCentered="1"/>
  <pageMargins left="0.7" right="0.7" top="0.75" bottom="0.75" header="0.3" footer="0.3"/>
  <pageSetup scale="95" fitToHeight="0" orientation="portrait" r:id="rId1"/>
  <headerFooter differentFirst="1">
    <oddFooter>Page &amp;P of &amp;N</oddFooter>
  </headerFooter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/>
    <pageSetUpPr fitToPage="1"/>
  </sheetPr>
  <dimension ref="B1:E85"/>
  <sheetViews>
    <sheetView showGridLines="0" zoomScale="80" zoomScaleNormal="100" workbookViewId="0">
      <selection activeCell="H23" sqref="H23"/>
    </sheetView>
  </sheetViews>
  <sheetFormatPr defaultColWidth="9" defaultRowHeight="30" customHeight="1" x14ac:dyDescent="0.3"/>
  <cols>
    <col min="1" max="2" width="2.5" customWidth="1"/>
    <col min="3" max="3" width="40.83203125" style="8" customWidth="1"/>
    <col min="4" max="4" width="15.83203125" style="1" customWidth="1"/>
    <col min="5" max="6" width="2.5" customWidth="1"/>
  </cols>
  <sheetData>
    <row r="1" spans="2:5" ht="18" customHeight="1" x14ac:dyDescent="0.3"/>
    <row r="2" spans="2:5" ht="18" customHeight="1" x14ac:dyDescent="0.3">
      <c r="B2" s="2"/>
      <c r="C2" s="7"/>
      <c r="D2" s="3"/>
      <c r="E2" s="2"/>
    </row>
    <row r="3" spans="2:5" ht="70" customHeight="1" thickBot="1" x14ac:dyDescent="0.35">
      <c r="B3" s="2"/>
      <c r="C3" s="48" t="s">
        <v>27</v>
      </c>
      <c r="D3" s="48"/>
      <c r="E3" s="2"/>
    </row>
    <row r="4" spans="2:5" ht="18" customHeight="1" x14ac:dyDescent="0.3">
      <c r="B4" s="2"/>
      <c r="C4" s="9"/>
      <c r="D4" s="10"/>
      <c r="E4" s="2"/>
    </row>
    <row r="5" spans="2:5" ht="30" customHeight="1" x14ac:dyDescent="0.3">
      <c r="B5" s="2"/>
      <c r="C5" s="19" t="s">
        <v>14</v>
      </c>
      <c r="D5" s="16" t="s">
        <v>1</v>
      </c>
      <c r="E5" s="2"/>
    </row>
    <row r="6" spans="2:5" ht="30" customHeight="1" x14ac:dyDescent="0.3">
      <c r="B6" s="2"/>
      <c r="C6" s="20" t="s">
        <v>23</v>
      </c>
      <c r="D6" s="34">
        <f>SUM(D28+D49+D70)</f>
        <v>0</v>
      </c>
      <c r="E6" s="2"/>
    </row>
    <row r="7" spans="2:5" ht="30" customHeight="1" x14ac:dyDescent="0.3">
      <c r="B7" s="2"/>
      <c r="C7" s="20" t="s">
        <v>5</v>
      </c>
      <c r="D7" s="34">
        <f t="shared" ref="D7:D19" si="0">SUM(D29+D50+D71)</f>
        <v>201.85</v>
      </c>
      <c r="E7" s="2"/>
    </row>
    <row r="8" spans="2:5" ht="30" customHeight="1" x14ac:dyDescent="0.3">
      <c r="B8" s="2"/>
      <c r="C8" s="20" t="s">
        <v>42</v>
      </c>
      <c r="D8" s="34">
        <f t="shared" si="0"/>
        <v>374.13</v>
      </c>
      <c r="E8" s="2"/>
    </row>
    <row r="9" spans="2:5" ht="30" customHeight="1" x14ac:dyDescent="0.3">
      <c r="B9" s="2"/>
      <c r="C9" s="20" t="s">
        <v>24</v>
      </c>
      <c r="D9" s="34">
        <f t="shared" si="0"/>
        <v>214.06000000000003</v>
      </c>
      <c r="E9" s="2"/>
    </row>
    <row r="10" spans="2:5" ht="30" customHeight="1" x14ac:dyDescent="0.3">
      <c r="B10" s="2"/>
      <c r="C10" s="20" t="s">
        <v>25</v>
      </c>
      <c r="D10" s="34">
        <f t="shared" si="0"/>
        <v>339.08000000000004</v>
      </c>
      <c r="E10" s="2"/>
    </row>
    <row r="11" spans="2:5" ht="30" customHeight="1" x14ac:dyDescent="0.3">
      <c r="B11" s="2"/>
      <c r="C11" s="20" t="s">
        <v>26</v>
      </c>
      <c r="D11" s="34">
        <f t="shared" si="0"/>
        <v>86.21</v>
      </c>
      <c r="E11" s="2"/>
    </row>
    <row r="12" spans="2:5" ht="30" customHeight="1" x14ac:dyDescent="0.3">
      <c r="B12" s="2"/>
      <c r="C12" s="13" t="s">
        <v>35</v>
      </c>
      <c r="D12" s="34">
        <f t="shared" si="0"/>
        <v>422.89</v>
      </c>
      <c r="E12" s="2"/>
    </row>
    <row r="13" spans="2:5" ht="30" customHeight="1" x14ac:dyDescent="0.3">
      <c r="B13" s="2"/>
      <c r="C13" s="13" t="s">
        <v>6</v>
      </c>
      <c r="D13" s="34">
        <f t="shared" si="0"/>
        <v>303.06</v>
      </c>
      <c r="E13" s="2"/>
    </row>
    <row r="14" spans="2:5" ht="30" customHeight="1" x14ac:dyDescent="0.3">
      <c r="B14" s="2"/>
      <c r="C14" s="13" t="s">
        <v>12</v>
      </c>
      <c r="D14" s="34">
        <f t="shared" si="0"/>
        <v>465.31</v>
      </c>
      <c r="E14" s="2"/>
    </row>
    <row r="15" spans="2:5" ht="30" customHeight="1" x14ac:dyDescent="0.3">
      <c r="B15" s="2"/>
      <c r="C15" s="13" t="s">
        <v>13</v>
      </c>
      <c r="D15" s="34">
        <f t="shared" si="0"/>
        <v>81.95</v>
      </c>
      <c r="E15" s="2"/>
    </row>
    <row r="16" spans="2:5" ht="30" customHeight="1" x14ac:dyDescent="0.3">
      <c r="B16" s="2"/>
      <c r="C16" s="13" t="s">
        <v>7</v>
      </c>
      <c r="D16" s="34">
        <f t="shared" si="0"/>
        <v>280</v>
      </c>
      <c r="E16" s="2"/>
    </row>
    <row r="17" spans="2:5" ht="30" customHeight="1" x14ac:dyDescent="0.3">
      <c r="B17" s="2"/>
      <c r="C17" s="13" t="s">
        <v>33</v>
      </c>
      <c r="D17" s="34">
        <f t="shared" si="0"/>
        <v>0</v>
      </c>
      <c r="E17" s="2"/>
    </row>
    <row r="18" spans="2:5" ht="30" customHeight="1" x14ac:dyDescent="0.3">
      <c r="B18" s="2"/>
      <c r="C18" s="13" t="s">
        <v>8</v>
      </c>
      <c r="D18" s="34">
        <f t="shared" si="0"/>
        <v>0</v>
      </c>
      <c r="E18" s="2"/>
    </row>
    <row r="19" spans="2:5" ht="30" customHeight="1" x14ac:dyDescent="0.3">
      <c r="B19" s="2"/>
      <c r="C19" s="13" t="s">
        <v>9</v>
      </c>
      <c r="D19" s="34">
        <f t="shared" si="0"/>
        <v>211.5</v>
      </c>
      <c r="E19" s="2"/>
    </row>
    <row r="20" spans="2:5" ht="30" customHeight="1" x14ac:dyDescent="0.3">
      <c r="B20" s="2"/>
      <c r="C20" s="19" t="s">
        <v>11</v>
      </c>
      <c r="D20" s="35">
        <f>SUBTOTAL(109,Expenses[Actual])</f>
        <v>2980.04</v>
      </c>
      <c r="E20" s="2"/>
    </row>
    <row r="21" spans="2:5" ht="30" customHeight="1" x14ac:dyDescent="0.3">
      <c r="B21" s="2"/>
      <c r="C21" s="7"/>
      <c r="D21" s="3"/>
      <c r="E21" s="2"/>
    </row>
    <row r="24" spans="2:5" ht="30" customHeight="1" x14ac:dyDescent="0.3">
      <c r="B24" s="2"/>
      <c r="C24" s="7"/>
      <c r="D24" s="3"/>
      <c r="E24" s="2"/>
    </row>
    <row r="25" spans="2:5" ht="30" customHeight="1" thickBot="1" x14ac:dyDescent="0.35">
      <c r="B25" s="2"/>
      <c r="C25" s="48" t="s">
        <v>30</v>
      </c>
      <c r="D25" s="48"/>
      <c r="E25" s="2"/>
    </row>
    <row r="26" spans="2:5" ht="30" customHeight="1" x14ac:dyDescent="0.3">
      <c r="B26" s="2"/>
      <c r="C26" s="9"/>
      <c r="D26" s="10"/>
      <c r="E26" s="2"/>
    </row>
    <row r="27" spans="2:5" ht="30" customHeight="1" x14ac:dyDescent="0.3">
      <c r="B27" s="2"/>
      <c r="C27" s="19" t="s">
        <v>14</v>
      </c>
      <c r="D27" s="16" t="s">
        <v>1</v>
      </c>
      <c r="E27" s="2"/>
    </row>
    <row r="28" spans="2:5" ht="30" customHeight="1" x14ac:dyDescent="0.3">
      <c r="B28" s="2"/>
      <c r="C28" s="20" t="s">
        <v>23</v>
      </c>
      <c r="D28" s="34">
        <f>SUMIFS('List Expenses'!$C$3:$C$100002,
        'List Expenses'!$B$3:$B$100002, 'Yearly expenses'!$C6,
        'List Expenses'!$A$3:$A$100002, "&gt;=" &amp; DATE(2025, 10, 1),
        'List Expenses'!$A$3:$A$100002, "&lt;"  &amp; DATE(2025, 11, 1))</f>
        <v>0</v>
      </c>
      <c r="E28" s="2"/>
    </row>
    <row r="29" spans="2:5" ht="30" customHeight="1" x14ac:dyDescent="0.3">
      <c r="B29" s="2"/>
      <c r="C29" s="20" t="s">
        <v>5</v>
      </c>
      <c r="D29" s="34">
        <f>SUMIFS('List Expenses'!$C$3:$C$100002,
        'List Expenses'!$B$3:$B$100002, 'Yearly expenses'!$C7,
        'List Expenses'!$A$3:$A$100002, "&gt;=" &amp; DATE(2025, 10, 1),
        'List Expenses'!$A$3:$A$100002, "&lt;"  &amp; DATE(2025, 11, 1))</f>
        <v>53.82</v>
      </c>
      <c r="E29" s="2"/>
    </row>
    <row r="30" spans="2:5" ht="30" customHeight="1" x14ac:dyDescent="0.3">
      <c r="B30" s="2"/>
      <c r="C30" s="20" t="s">
        <v>42</v>
      </c>
      <c r="D30" s="34">
        <f>SUMIFS('List Expenses'!$C$3:$C$100002,
        'List Expenses'!$B$3:$B$100002, 'Yearly expenses'!$C8,
        'List Expenses'!$A$3:$A$100002, "&gt;=" &amp; DATE(2025, 10, 1),
        'List Expenses'!$A$3:$A$100002, "&lt;"  &amp; DATE(2025, 11, 1))</f>
        <v>229.13</v>
      </c>
      <c r="E30" s="2"/>
    </row>
    <row r="31" spans="2:5" ht="30" customHeight="1" x14ac:dyDescent="0.3">
      <c r="B31" s="2"/>
      <c r="C31" s="20" t="s">
        <v>24</v>
      </c>
      <c r="D31" s="34">
        <f>SUMIFS('List Expenses'!$C$3:$C$100002,
        'List Expenses'!$B$3:$B$100002, 'Yearly expenses'!$C9,
        'List Expenses'!$A$3:$A$100002, "&gt;=" &amp; DATE(2025, 10, 1),
        'List Expenses'!$A$3:$A$100002, "&lt;"  &amp; DATE(2025, 11, 1))</f>
        <v>26.05</v>
      </c>
      <c r="E31" s="2"/>
    </row>
    <row r="32" spans="2:5" ht="30" customHeight="1" x14ac:dyDescent="0.3">
      <c r="B32" s="2"/>
      <c r="C32" s="20" t="s">
        <v>25</v>
      </c>
      <c r="D32" s="34">
        <f>SUMIFS('List Expenses'!$C$3:$C$100002,
        'List Expenses'!$B$3:$B$100002, 'Yearly expenses'!$C10,
        'List Expenses'!$A$3:$A$100002, "&gt;=" &amp; DATE(2025, 10, 1),
        'List Expenses'!$A$3:$A$100002, "&lt;"  &amp; DATE(2025, 11, 1))</f>
        <v>226.39000000000001</v>
      </c>
      <c r="E32" s="2"/>
    </row>
    <row r="33" spans="2:5" ht="30" customHeight="1" x14ac:dyDescent="0.3">
      <c r="B33" s="2"/>
      <c r="C33" s="20" t="s">
        <v>26</v>
      </c>
      <c r="D33" s="34">
        <f>SUMIFS('List Expenses'!$C$3:$C$100002,
        'List Expenses'!$B$3:$B$100002, 'Yearly expenses'!$C11,
        'List Expenses'!$A$3:$A$100002, "&gt;=" &amp; DATE(2025, 10, 1),
        'List Expenses'!$A$3:$A$100002, "&lt;"  &amp; DATE(2025, 11, 1))</f>
        <v>86.21</v>
      </c>
      <c r="E33" s="2"/>
    </row>
    <row r="34" spans="2:5" ht="30" customHeight="1" x14ac:dyDescent="0.3">
      <c r="B34" s="2"/>
      <c r="C34" s="13" t="s">
        <v>35</v>
      </c>
      <c r="D34" s="34">
        <f>SUMIFS('List Expenses'!$C$3:$C$100002,
        'List Expenses'!$B$3:$B$100002, 'Yearly expenses'!$C12,
        'List Expenses'!$A$3:$A$100002, "&gt;=" &amp; DATE(2025, 10, 1),
        'List Expenses'!$A$3:$A$100002, "&lt;"  &amp; DATE(2025, 11, 1))</f>
        <v>422.89</v>
      </c>
      <c r="E34" s="2"/>
    </row>
    <row r="35" spans="2:5" ht="30" customHeight="1" x14ac:dyDescent="0.3">
      <c r="B35" s="2"/>
      <c r="C35" s="13" t="s">
        <v>6</v>
      </c>
      <c r="D35" s="34">
        <f>SUMIFS('List Expenses'!$C$3:$C$100002,
        'List Expenses'!$B$3:$B$100002, 'Yearly expenses'!$C13,
        'List Expenses'!$A$3:$A$100002, "&gt;=" &amp; DATE(2025, 10, 1),
        'List Expenses'!$A$3:$A$100002, "&lt;"  &amp; DATE(2025, 11, 1))</f>
        <v>97.2</v>
      </c>
      <c r="E35" s="2"/>
    </row>
    <row r="36" spans="2:5" ht="30" customHeight="1" x14ac:dyDescent="0.3">
      <c r="B36" s="2"/>
      <c r="C36" s="13" t="s">
        <v>12</v>
      </c>
      <c r="D36" s="34">
        <f>SUMIFS('List Expenses'!$C$3:$C$100002,
        'List Expenses'!$B$3:$B$100002, 'Yearly expenses'!$C14,
        'List Expenses'!$A$3:$A$100002, "&gt;=" &amp; DATE(2025, 10, 1),
        'List Expenses'!$A$3:$A$100002, "&lt;"  &amp; DATE(2025, 11, 1))</f>
        <v>142</v>
      </c>
      <c r="E36" s="2"/>
    </row>
    <row r="37" spans="2:5" ht="30" customHeight="1" x14ac:dyDescent="0.3">
      <c r="B37" s="2"/>
      <c r="C37" s="13" t="s">
        <v>13</v>
      </c>
      <c r="D37" s="34">
        <f>SUMIFS('List Expenses'!$C$3:$C$100002,
        'List Expenses'!$B$3:$B$100002, 'Yearly expenses'!$C15,
        'List Expenses'!$A$3:$A$100002, "&gt;=" &amp; DATE(2025, 10, 1),
        'List Expenses'!$A$3:$A$100002, "&lt;"  &amp; DATE(2025, 11, 1))</f>
        <v>81.95</v>
      </c>
      <c r="E37" s="2"/>
    </row>
    <row r="38" spans="2:5" ht="30" customHeight="1" x14ac:dyDescent="0.3">
      <c r="B38" s="2"/>
      <c r="C38" s="13" t="s">
        <v>7</v>
      </c>
      <c r="D38" s="34">
        <f>SUMIFS('List Expenses'!$C$3:$C$100002,
        'List Expenses'!$B$3:$B$100002, 'Yearly expenses'!$C16,
        'List Expenses'!$A$3:$A$100002, "&gt;=" &amp; DATE(2025, 10, 1),
        'List Expenses'!$A$3:$A$100002, "&lt;"  &amp; DATE(2025, 11, 1))</f>
        <v>30</v>
      </c>
      <c r="E38" s="2"/>
    </row>
    <row r="39" spans="2:5" ht="30" customHeight="1" x14ac:dyDescent="0.3">
      <c r="B39" s="2"/>
      <c r="C39" s="13" t="s">
        <v>33</v>
      </c>
      <c r="D39" s="34">
        <f>SUMIFS('List Expenses'!$C$3:$C$100002,
        'List Expenses'!$B$3:$B$100002, 'Yearly expenses'!$C17,
        'List Expenses'!$A$3:$A$100002, "&gt;=" &amp; DATE(2025, 10, 1),
        'List Expenses'!$A$3:$A$100002, "&lt;"  &amp; DATE(2025, 11, 1))</f>
        <v>0</v>
      </c>
      <c r="E39" s="2"/>
    </row>
    <row r="40" spans="2:5" ht="30" customHeight="1" x14ac:dyDescent="0.3">
      <c r="B40" s="2"/>
      <c r="C40" s="13" t="s">
        <v>8</v>
      </c>
      <c r="D40" s="34">
        <f>SUMIFS('List Expenses'!$C$3:$C$100002,
        'List Expenses'!$B$3:$B$100002, 'Yearly expenses'!$C18,
        'List Expenses'!$A$3:$A$100002, "&gt;=" &amp; DATE(2025, 10, 1),
        'List Expenses'!$A$3:$A$100002, "&lt;"  &amp; DATE(2025, 11, 1))</f>
        <v>0</v>
      </c>
      <c r="E40" s="2"/>
    </row>
    <row r="41" spans="2:5" ht="30" customHeight="1" x14ac:dyDescent="0.3">
      <c r="B41" s="2"/>
      <c r="C41" s="13" t="s">
        <v>9</v>
      </c>
      <c r="D41" s="34">
        <f>SUMIFS('List Expenses'!$C$3:$C$100002,
        'List Expenses'!$B$3:$B$100002, 'Yearly expenses'!$C19,
        'List Expenses'!$A$3:$A$100002, "&gt;=" &amp; DATE(2025, 10, 1),
        'List Expenses'!$A$3:$A$100002, "&lt;"  &amp; DATE(2025, 11, 1))</f>
        <v>101</v>
      </c>
      <c r="E41" s="2"/>
    </row>
    <row r="42" spans="2:5" ht="30" customHeight="1" x14ac:dyDescent="0.3">
      <c r="B42" s="2"/>
      <c r="C42" s="19" t="s">
        <v>11</v>
      </c>
      <c r="D42" s="35">
        <f>SUBTOTAL(109,Expenses2[Actual])</f>
        <v>1496.64</v>
      </c>
      <c r="E42" s="2"/>
    </row>
    <row r="43" spans="2:5" ht="30" customHeight="1" x14ac:dyDescent="0.3">
      <c r="B43" s="2"/>
      <c r="C43" s="7"/>
      <c r="D43" s="3"/>
      <c r="E43" s="2"/>
    </row>
    <row r="45" spans="2:5" ht="30" customHeight="1" x14ac:dyDescent="0.3">
      <c r="B45" s="2"/>
      <c r="C45" s="7"/>
      <c r="D45" s="3"/>
      <c r="E45" s="2"/>
    </row>
    <row r="46" spans="2:5" ht="30" customHeight="1" thickBot="1" x14ac:dyDescent="0.35">
      <c r="B46" s="2"/>
      <c r="C46" s="48" t="s">
        <v>31</v>
      </c>
      <c r="D46" s="48"/>
      <c r="E46" s="2"/>
    </row>
    <row r="47" spans="2:5" ht="30" customHeight="1" x14ac:dyDescent="0.3">
      <c r="B47" s="2"/>
      <c r="C47" s="9"/>
      <c r="D47" s="10"/>
      <c r="E47" s="2"/>
    </row>
    <row r="48" spans="2:5" ht="30" customHeight="1" x14ac:dyDescent="0.3">
      <c r="B48" s="2"/>
      <c r="C48" s="19" t="s">
        <v>14</v>
      </c>
      <c r="D48" s="16" t="s">
        <v>1</v>
      </c>
      <c r="E48" s="2"/>
    </row>
    <row r="49" spans="2:5" ht="30" customHeight="1" x14ac:dyDescent="0.3">
      <c r="B49" s="2"/>
      <c r="C49" s="20" t="s">
        <v>23</v>
      </c>
      <c r="D49" s="34">
        <f>SUMIFS('List Expenses'!$C$3:$C$100002,
        'List Expenses'!$B$3:$B$100002, 'Yearly expenses'!$C6,
        'List Expenses'!$A$3:$A$100002, "&gt;=" &amp; DATE(2025, 11, 1),
        'List Expenses'!$A$3:$A$100002, "&lt;"  &amp; DATE(2025, 12, 1))</f>
        <v>0</v>
      </c>
      <c r="E49" s="2"/>
    </row>
    <row r="50" spans="2:5" ht="30" customHeight="1" x14ac:dyDescent="0.3">
      <c r="B50" s="2"/>
      <c r="C50" s="20" t="s">
        <v>5</v>
      </c>
      <c r="D50" s="34">
        <f>SUMIFS('List Expenses'!$C$3:$C$100002,
        'List Expenses'!$B$3:$B$100002, 'Yearly expenses'!$C7,
        'List Expenses'!$A$3:$A$100002, "&gt;=" &amp; DATE(2025, 11, 1),
        'List Expenses'!$A$3:$A$100002, "&lt;"  &amp; DATE(2025, 12, 1))</f>
        <v>148.03</v>
      </c>
      <c r="E50" s="2"/>
    </row>
    <row r="51" spans="2:5" ht="30" customHeight="1" x14ac:dyDescent="0.3">
      <c r="B51" s="2"/>
      <c r="C51" s="20" t="s">
        <v>42</v>
      </c>
      <c r="D51" s="34">
        <f>SUMIFS('List Expenses'!$C$3:$C$100002,
        'List Expenses'!$B$3:$B$100002, 'Yearly expenses'!$C8,
        'List Expenses'!$A$3:$A$100002, "&gt;=" &amp; DATE(2025, 11, 1),
        'List Expenses'!$A$3:$A$100002, "&lt;"  &amp; DATE(2025, 12, 1))</f>
        <v>145</v>
      </c>
      <c r="E51" s="2"/>
    </row>
    <row r="52" spans="2:5" ht="30" customHeight="1" x14ac:dyDescent="0.3">
      <c r="B52" s="2"/>
      <c r="C52" s="20" t="s">
        <v>24</v>
      </c>
      <c r="D52" s="34">
        <f>SUMIFS('List Expenses'!$C$3:$C$100002,
        'List Expenses'!$B$3:$B$100002, 'Yearly expenses'!$C9,
        'List Expenses'!$A$3:$A$100002, "&gt;=" &amp; DATE(2025, 11, 1),
        'List Expenses'!$A$3:$A$100002, "&lt;"  &amp; DATE(2025, 12, 1))</f>
        <v>188.01000000000002</v>
      </c>
      <c r="E52" s="2"/>
    </row>
    <row r="53" spans="2:5" ht="30" customHeight="1" x14ac:dyDescent="0.3">
      <c r="B53" s="2"/>
      <c r="C53" s="20" t="s">
        <v>25</v>
      </c>
      <c r="D53" s="34">
        <f>SUMIFS('List Expenses'!$C$3:$C$100002,
        'List Expenses'!$B$3:$B$100002, 'Yearly expenses'!$C10,
        'List Expenses'!$A$3:$A$100002, "&gt;=" &amp; DATE(2025, 11, 1),
        'List Expenses'!$A$3:$A$100002, "&lt;"  &amp; DATE(2025, 12, 1))</f>
        <v>112.69</v>
      </c>
      <c r="E53" s="2"/>
    </row>
    <row r="54" spans="2:5" ht="30" customHeight="1" x14ac:dyDescent="0.3">
      <c r="B54" s="2"/>
      <c r="C54" s="20" t="s">
        <v>26</v>
      </c>
      <c r="D54" s="34">
        <f>SUMIFS('List Expenses'!$C$3:$C$100002,
        'List Expenses'!$B$3:$B$100002, 'Yearly expenses'!$C11,
        'List Expenses'!$A$3:$A$100002, "&gt;=" &amp; DATE(2025, 11, 1),
        'List Expenses'!$A$3:$A$100002, "&lt;"  &amp; DATE(2025, 12, 1))</f>
        <v>0</v>
      </c>
      <c r="E54" s="2"/>
    </row>
    <row r="55" spans="2:5" ht="30" customHeight="1" x14ac:dyDescent="0.3">
      <c r="B55" s="2"/>
      <c r="C55" s="13" t="s">
        <v>35</v>
      </c>
      <c r="D55" s="34">
        <f>SUMIFS('List Expenses'!$C$3:$C$100002,
        'List Expenses'!$B$3:$B$100002, 'Yearly expenses'!$C12,
        'List Expenses'!$A$3:$A$100002, "&gt;=" &amp; DATE(2025, 11, 1),
        'List Expenses'!$A$3:$A$100002, "&lt;"  &amp; DATE(2025, 12, 1))</f>
        <v>0</v>
      </c>
      <c r="E55" s="2"/>
    </row>
    <row r="56" spans="2:5" ht="30" customHeight="1" x14ac:dyDescent="0.3">
      <c r="B56" s="2"/>
      <c r="C56" s="13" t="s">
        <v>6</v>
      </c>
      <c r="D56" s="34">
        <f>SUMIFS('List Expenses'!$C$3:$C$100002,
        'List Expenses'!$B$3:$B$100002, 'Yearly expenses'!$C13,
        'List Expenses'!$A$3:$A$100002, "&gt;=" &amp; DATE(2025, 11, 1),
        'List Expenses'!$A$3:$A$100002, "&lt;"  &amp; DATE(2025, 12, 1))</f>
        <v>205.85999999999999</v>
      </c>
      <c r="E56" s="2"/>
    </row>
    <row r="57" spans="2:5" ht="30" customHeight="1" x14ac:dyDescent="0.3">
      <c r="B57" s="2"/>
      <c r="C57" s="13" t="s">
        <v>12</v>
      </c>
      <c r="D57" s="34">
        <f>SUMIFS('List Expenses'!$C$3:$C$100002,
        'List Expenses'!$B$3:$B$100002, 'Yearly expenses'!$C14,
        'List Expenses'!$A$3:$A$100002, "&gt;=" &amp; DATE(2025, 11, 1),
        'List Expenses'!$A$3:$A$100002, "&lt;"  &amp; DATE(2025, 12, 1))</f>
        <v>323.31</v>
      </c>
      <c r="E57" s="2"/>
    </row>
    <row r="58" spans="2:5" ht="30" customHeight="1" x14ac:dyDescent="0.3">
      <c r="B58" s="2"/>
      <c r="C58" s="13" t="s">
        <v>13</v>
      </c>
      <c r="D58" s="34">
        <f>SUMIFS('List Expenses'!$C$3:$C$100002,
        'List Expenses'!$B$3:$B$100002, 'Yearly expenses'!$C15,
        'List Expenses'!$A$3:$A$100002, "&gt;=" &amp; DATE(2025, 11, 1),
        'List Expenses'!$A$3:$A$100002, "&lt;"  &amp; DATE(2025, 12, 1))</f>
        <v>0</v>
      </c>
      <c r="E58" s="2"/>
    </row>
    <row r="59" spans="2:5" ht="30" customHeight="1" x14ac:dyDescent="0.3">
      <c r="B59" s="2"/>
      <c r="C59" s="13" t="s">
        <v>7</v>
      </c>
      <c r="D59" s="34">
        <f>SUMIFS('List Expenses'!$C$3:$C$100002,
        'List Expenses'!$B$3:$B$100002, 'Yearly expenses'!$C16,
        'List Expenses'!$A$3:$A$100002, "&gt;=" &amp; DATE(2025, 11, 1),
        'List Expenses'!$A$3:$A$100002, "&lt;"  &amp; DATE(2025, 12, 1))</f>
        <v>250</v>
      </c>
      <c r="E59" s="2"/>
    </row>
    <row r="60" spans="2:5" ht="30" customHeight="1" x14ac:dyDescent="0.3">
      <c r="B60" s="2"/>
      <c r="C60" s="13" t="s">
        <v>33</v>
      </c>
      <c r="D60" s="34">
        <f>SUMIFS('List Expenses'!$C$3:$C$100002,
        'List Expenses'!$B$3:$B$100002, 'Yearly expenses'!$C17,
        'List Expenses'!$A$3:$A$100002, "&gt;=" &amp; DATE(2025, 11, 1),
        'List Expenses'!$A$3:$A$100002, "&lt;"  &amp; DATE(2025, 12, 1))</f>
        <v>0</v>
      </c>
      <c r="E60" s="2"/>
    </row>
    <row r="61" spans="2:5" ht="30" customHeight="1" x14ac:dyDescent="0.3">
      <c r="B61" s="2"/>
      <c r="C61" s="13" t="s">
        <v>8</v>
      </c>
      <c r="D61" s="34">
        <f>SUMIFS('List Expenses'!$C$3:$C$100002,
        'List Expenses'!$B$3:$B$100002, 'Yearly expenses'!$C18,
        'List Expenses'!$A$3:$A$100002, "&gt;=" &amp; DATE(2025, 11, 1),
        'List Expenses'!$A$3:$A$100002, "&lt;"  &amp; DATE(2025, 12, 1))</f>
        <v>0</v>
      </c>
      <c r="E61" s="2"/>
    </row>
    <row r="62" spans="2:5" ht="30" customHeight="1" x14ac:dyDescent="0.3">
      <c r="B62" s="2"/>
      <c r="C62" s="13" t="s">
        <v>9</v>
      </c>
      <c r="D62" s="34">
        <f>SUMIFS('List Expenses'!$C$3:$C$100002,
        'List Expenses'!$B$3:$B$100002, 'Yearly expenses'!$C19,
        'List Expenses'!$A$3:$A$100002, "&gt;=" &amp; DATE(2025, 11, 1),
        'List Expenses'!$A$3:$A$100002, "&lt;"  &amp; DATE(2025, 12, 1))</f>
        <v>110.5</v>
      </c>
      <c r="E62" s="2"/>
    </row>
    <row r="63" spans="2:5" ht="30" customHeight="1" x14ac:dyDescent="0.3">
      <c r="B63" s="2"/>
      <c r="C63" s="19" t="s">
        <v>11</v>
      </c>
      <c r="D63" s="35">
        <f>SUBTOTAL(109,Expenses4[Actual])</f>
        <v>1483.4</v>
      </c>
      <c r="E63" s="2"/>
    </row>
    <row r="64" spans="2:5" ht="30" customHeight="1" x14ac:dyDescent="0.3">
      <c r="B64" s="2"/>
      <c r="C64" s="7"/>
      <c r="D64" s="3"/>
      <c r="E64" s="2"/>
    </row>
    <row r="66" spans="2:5" ht="30" customHeight="1" x14ac:dyDescent="0.3">
      <c r="B66" s="2"/>
      <c r="C66" s="7"/>
      <c r="D66" s="3"/>
      <c r="E66" s="2"/>
    </row>
    <row r="67" spans="2:5" ht="30" customHeight="1" thickBot="1" x14ac:dyDescent="0.35">
      <c r="B67" s="2"/>
      <c r="C67" s="48" t="s">
        <v>32</v>
      </c>
      <c r="D67" s="48"/>
      <c r="E67" s="2"/>
    </row>
    <row r="68" spans="2:5" ht="30" customHeight="1" x14ac:dyDescent="0.3">
      <c r="B68" s="2"/>
      <c r="C68" s="9"/>
      <c r="D68" s="10"/>
      <c r="E68" s="2"/>
    </row>
    <row r="69" spans="2:5" ht="30" customHeight="1" x14ac:dyDescent="0.3">
      <c r="B69" s="2"/>
      <c r="C69" s="19" t="s">
        <v>14</v>
      </c>
      <c r="D69" s="16" t="s">
        <v>1</v>
      </c>
      <c r="E69" s="2"/>
    </row>
    <row r="70" spans="2:5" ht="30" customHeight="1" x14ac:dyDescent="0.3">
      <c r="B70" s="2"/>
      <c r="C70" s="20" t="s">
        <v>23</v>
      </c>
      <c r="D70" s="34">
        <f>SUMIFS('List Expenses'!$C$3:$C$100002,
        'List Expenses'!$B$3:$B$100002, 'Yearly expenses'!$C6,
        'List Expenses'!$A$3:$A$100002, "&gt;=" &amp; DATE(2025, 12, 1),
        'List Expenses'!$A$3:$A$100002, "&lt;"  &amp; DATE(2026, 1, 1))</f>
        <v>0</v>
      </c>
      <c r="E70" s="2"/>
    </row>
    <row r="71" spans="2:5" ht="30" customHeight="1" x14ac:dyDescent="0.3">
      <c r="B71" s="2"/>
      <c r="C71" s="20" t="s">
        <v>5</v>
      </c>
      <c r="D71" s="34">
        <f>SUMIFS('List Expenses'!$C$3:$C$100002,
        'List Expenses'!$B$3:$B$100002, 'Yearly expenses'!$C7,
        'List Expenses'!$A$3:$A$100002, "&gt;=" &amp; DATE(2025, 12, 1),
        'List Expenses'!$A$3:$A$100002, "&lt;"  &amp; DATE(2026, 1, 1))</f>
        <v>0</v>
      </c>
      <c r="E71" s="2"/>
    </row>
    <row r="72" spans="2:5" ht="30" customHeight="1" x14ac:dyDescent="0.3">
      <c r="B72" s="2"/>
      <c r="C72" s="20" t="s">
        <v>42</v>
      </c>
      <c r="D72" s="34">
        <f>SUMIFS('List Expenses'!$C$3:$C$100002,
        'List Expenses'!$B$3:$B$100002, 'Yearly expenses'!$C8,
        'List Expenses'!$A$3:$A$100002, "&gt;=" &amp; DATE(2025, 12, 1),
        'List Expenses'!$A$3:$A$100002, "&lt;"  &amp; DATE(2026, 1, 1))</f>
        <v>0</v>
      </c>
      <c r="E72" s="2"/>
    </row>
    <row r="73" spans="2:5" ht="30" customHeight="1" x14ac:dyDescent="0.3">
      <c r="B73" s="2"/>
      <c r="C73" s="20" t="s">
        <v>24</v>
      </c>
      <c r="D73" s="34">
        <f>SUMIFS('List Expenses'!$C$3:$C$100002,
        'List Expenses'!$B$3:$B$100002, 'Yearly expenses'!$C9,
        'List Expenses'!$A$3:$A$100002, "&gt;=" &amp; DATE(2025, 12, 1),
        'List Expenses'!$A$3:$A$100002, "&lt;"  &amp; DATE(2026, 1, 1))</f>
        <v>0</v>
      </c>
      <c r="E73" s="2"/>
    </row>
    <row r="74" spans="2:5" ht="30" customHeight="1" x14ac:dyDescent="0.3">
      <c r="B74" s="2"/>
      <c r="C74" s="20" t="s">
        <v>25</v>
      </c>
      <c r="D74" s="34">
        <f>SUMIFS('List Expenses'!$C$3:$C$100002,
        'List Expenses'!$B$3:$B$100002, 'Yearly expenses'!$C10,
        'List Expenses'!$A$3:$A$100002, "&gt;=" &amp; DATE(2025, 12, 1),
        'List Expenses'!$A$3:$A$100002, "&lt;"  &amp; DATE(2026, 1, 1))</f>
        <v>0</v>
      </c>
      <c r="E74" s="2"/>
    </row>
    <row r="75" spans="2:5" ht="30" customHeight="1" x14ac:dyDescent="0.3">
      <c r="B75" s="2"/>
      <c r="C75" s="20" t="s">
        <v>26</v>
      </c>
      <c r="D75" s="34">
        <f>SUMIFS('List Expenses'!$C$3:$C$100002,
        'List Expenses'!$B$3:$B$100002, 'Yearly expenses'!$C11,
        'List Expenses'!$A$3:$A$100002, "&gt;=" &amp; DATE(2025, 12, 1),
        'List Expenses'!$A$3:$A$100002, "&lt;"  &amp; DATE(2026, 1, 1))</f>
        <v>0</v>
      </c>
      <c r="E75" s="2"/>
    </row>
    <row r="76" spans="2:5" ht="30" customHeight="1" x14ac:dyDescent="0.3">
      <c r="B76" s="2"/>
      <c r="C76" s="13" t="s">
        <v>35</v>
      </c>
      <c r="D76" s="34">
        <f>SUMIFS('List Expenses'!$C$3:$C$100002,
        'List Expenses'!$B$3:$B$100002, 'Yearly expenses'!$C12,
        'List Expenses'!$A$3:$A$100002, "&gt;=" &amp; DATE(2025, 12, 1),
        'List Expenses'!$A$3:$A$100002, "&lt;"  &amp; DATE(2026, 1, 1))</f>
        <v>0</v>
      </c>
      <c r="E76" s="2"/>
    </row>
    <row r="77" spans="2:5" ht="30" customHeight="1" x14ac:dyDescent="0.3">
      <c r="B77" s="2"/>
      <c r="C77" s="13" t="s">
        <v>6</v>
      </c>
      <c r="D77" s="34">
        <f>SUMIFS('List Expenses'!$C$3:$C$100002,
        'List Expenses'!$B$3:$B$100002, 'Yearly expenses'!$C13,
        'List Expenses'!$A$3:$A$100002, "&gt;=" &amp; DATE(2025, 12, 1),
        'List Expenses'!$A$3:$A$100002, "&lt;"  &amp; DATE(2026, 1, 1))</f>
        <v>0</v>
      </c>
      <c r="E77" s="2"/>
    </row>
    <row r="78" spans="2:5" ht="30" customHeight="1" x14ac:dyDescent="0.3">
      <c r="B78" s="2"/>
      <c r="C78" s="13" t="s">
        <v>12</v>
      </c>
      <c r="D78" s="34">
        <f>SUMIFS('List Expenses'!$C$3:$C$100002,
        'List Expenses'!$B$3:$B$100002, 'Yearly expenses'!$C14,
        'List Expenses'!$A$3:$A$100002, "&gt;=" &amp; DATE(2025, 12, 1),
        'List Expenses'!$A$3:$A$100002, "&lt;"  &amp; DATE(2026, 1, 1))</f>
        <v>0</v>
      </c>
      <c r="E78" s="2"/>
    </row>
    <row r="79" spans="2:5" ht="30" customHeight="1" x14ac:dyDescent="0.3">
      <c r="B79" s="2"/>
      <c r="C79" s="13" t="s">
        <v>13</v>
      </c>
      <c r="D79" s="34">
        <f>SUMIFS('List Expenses'!$C$3:$C$100002,
        'List Expenses'!$B$3:$B$100002, 'Yearly expenses'!$C15,
        'List Expenses'!$A$3:$A$100002, "&gt;=" &amp; DATE(2025, 12, 1),
        'List Expenses'!$A$3:$A$100002, "&lt;"  &amp; DATE(2026, 1, 1))</f>
        <v>0</v>
      </c>
      <c r="E79" s="2"/>
    </row>
    <row r="80" spans="2:5" ht="30" customHeight="1" x14ac:dyDescent="0.3">
      <c r="B80" s="2"/>
      <c r="C80" s="13" t="s">
        <v>7</v>
      </c>
      <c r="D80" s="34">
        <f>SUMIFS('List Expenses'!$C$3:$C$100002,
        'List Expenses'!$B$3:$B$100002, 'Yearly expenses'!$C16,
        'List Expenses'!$A$3:$A$100002, "&gt;=" &amp; DATE(2025, 12, 1),
        'List Expenses'!$A$3:$A$100002, "&lt;"  &amp; DATE(2026, 1, 1))</f>
        <v>0</v>
      </c>
      <c r="E80" s="2"/>
    </row>
    <row r="81" spans="2:5" ht="30" customHeight="1" x14ac:dyDescent="0.3">
      <c r="B81" s="2"/>
      <c r="C81" s="13" t="s">
        <v>33</v>
      </c>
      <c r="D81" s="34">
        <f>SUMIFS('List Expenses'!$C$3:$C$100002,
        'List Expenses'!$B$3:$B$100002, 'Yearly expenses'!$C17,
        'List Expenses'!$A$3:$A$100002, "&gt;=" &amp; DATE(2025, 12, 1),
        'List Expenses'!$A$3:$A$100002, "&lt;"  &amp; DATE(2026, 1, 1))</f>
        <v>0</v>
      </c>
      <c r="E81" s="2"/>
    </row>
    <row r="82" spans="2:5" ht="30" customHeight="1" x14ac:dyDescent="0.3">
      <c r="B82" s="2"/>
      <c r="C82" s="13" t="s">
        <v>8</v>
      </c>
      <c r="D82" s="34">
        <f>SUMIFS('List Expenses'!$C$3:$C$100002,
        'List Expenses'!$B$3:$B$100002, 'Yearly expenses'!$C18,
        'List Expenses'!$A$3:$A$100002, "&gt;=" &amp; DATE(2025, 12, 1),
        'List Expenses'!$A$3:$A$100002, "&lt;"  &amp; DATE(2026, 1, 1))</f>
        <v>0</v>
      </c>
      <c r="E82" s="2"/>
    </row>
    <row r="83" spans="2:5" ht="30" customHeight="1" x14ac:dyDescent="0.3">
      <c r="B83" s="2"/>
      <c r="C83" s="13" t="s">
        <v>9</v>
      </c>
      <c r="D83" s="34">
        <f>SUMIFS('List Expenses'!$C$3:$C$100002,
        'List Expenses'!$B$3:$B$100002, 'Yearly expenses'!$C19,
        'List Expenses'!$A$3:$A$100002, "&gt;=" &amp; DATE(2025, 12, 1),
        'List Expenses'!$A$3:$A$100002, "&lt;"  &amp; DATE(2026, 1, 1))</f>
        <v>0</v>
      </c>
      <c r="E83" s="2"/>
    </row>
    <row r="84" spans="2:5" ht="30" customHeight="1" x14ac:dyDescent="0.3">
      <c r="B84" s="2"/>
      <c r="C84" s="19" t="s">
        <v>11</v>
      </c>
      <c r="D84" s="35">
        <f>SUBTOTAL(109,Expenses5[Actual])</f>
        <v>0</v>
      </c>
      <c r="E84" s="2"/>
    </row>
    <row r="85" spans="2:5" ht="30" customHeight="1" x14ac:dyDescent="0.3">
      <c r="B85" s="2"/>
      <c r="C85" s="7"/>
      <c r="D85" s="3"/>
      <c r="E85" s="2"/>
    </row>
  </sheetData>
  <mergeCells count="4">
    <mergeCell ref="C3:D3"/>
    <mergeCell ref="C25:D25"/>
    <mergeCell ref="C46:D46"/>
    <mergeCell ref="C67:D67"/>
  </mergeCells>
  <dataValidations count="4">
    <dataValidation allowBlank="1" showInputMessage="1" showErrorMessage="1" prompt="Enter Monthly Expenses in this column under this heading. Use heading filters to find specific entries" sqref="C5:D5 C27:D27 C48:D48 C69:D69" xr:uid="{00000000-0002-0000-0200-000000000000}"/>
    <dataValidation allowBlank="1" showInputMessage="1" showErrorMessage="1" prompt="Enter Actual expense in this column under this heading" sqref="D5 D27 D48 D69" xr:uid="{00000000-0002-0000-0200-000002000000}"/>
    <dataValidation allowBlank="1" showInputMessage="1" showErrorMessage="1" prompt="Enter Monthly Expenses in this worksheet" sqref="A1" xr:uid="{00000000-0002-0000-0200-000004000000}"/>
    <dataValidation allowBlank="1" showInputMessage="1" showErrorMessage="1" prompt="Enter Month in this cell" sqref="C3 C25 C46 C67" xr:uid="{EC3EAF26-4463-9542-969C-FF04775CF3A9}"/>
  </dataValidations>
  <printOptions horizontalCentered="1"/>
  <pageMargins left="0.7" right="0.7" top="0.75" bottom="0.75" header="0.3" footer="0.3"/>
  <pageSetup scale="95" fitToHeight="0" orientation="portrait" r:id="rId1"/>
  <headerFooter differentFirst="1">
    <oddFooter>Page &amp;P of &amp;N</oddFooter>
  </headerFooter>
  <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31C5-A03B-48E0-8DDB-CEE87221F865}">
  <sheetPr codeName="Sheet4"/>
  <dimension ref="A1:D9"/>
  <sheetViews>
    <sheetView workbookViewId="0">
      <selection activeCell="D9" sqref="D9"/>
    </sheetView>
  </sheetViews>
  <sheetFormatPr defaultRowHeight="14" x14ac:dyDescent="0.3"/>
  <cols>
    <col min="1" max="2" width="17.33203125" customWidth="1"/>
    <col min="3" max="3" width="17.25" style="36" customWidth="1"/>
    <col min="4" max="4" width="34.75" customWidth="1"/>
    <col min="15" max="15" width="11.25" bestFit="1" customWidth="1"/>
  </cols>
  <sheetData>
    <row r="1" spans="1:4" ht="28" customHeight="1" x14ac:dyDescent="0.3">
      <c r="A1" s="31" t="s">
        <v>36</v>
      </c>
      <c r="B1" s="31" t="s">
        <v>37</v>
      </c>
      <c r="C1" s="31" t="s">
        <v>39</v>
      </c>
      <c r="D1" s="31" t="s">
        <v>40</v>
      </c>
    </row>
    <row r="2" spans="1:4" x14ac:dyDescent="0.3">
      <c r="C2"/>
    </row>
    <row r="3" spans="1:4" x14ac:dyDescent="0.3">
      <c r="A3" s="30">
        <v>45938</v>
      </c>
      <c r="B3" t="s">
        <v>16</v>
      </c>
      <c r="C3" s="36">
        <v>1096.22</v>
      </c>
      <c r="D3" t="s">
        <v>41</v>
      </c>
    </row>
    <row r="4" spans="1:4" x14ac:dyDescent="0.3">
      <c r="A4" s="30">
        <v>45943</v>
      </c>
      <c r="B4" t="s">
        <v>19</v>
      </c>
      <c r="C4" s="36">
        <v>871.83</v>
      </c>
      <c r="D4" t="s">
        <v>44</v>
      </c>
    </row>
    <row r="5" spans="1:4" x14ac:dyDescent="0.3">
      <c r="A5" s="30">
        <v>45971</v>
      </c>
      <c r="B5" t="s">
        <v>18</v>
      </c>
      <c r="C5" s="36">
        <v>100</v>
      </c>
      <c r="D5" t="s">
        <v>73</v>
      </c>
    </row>
    <row r="6" spans="1:4" x14ac:dyDescent="0.3">
      <c r="A6" s="30">
        <v>45980</v>
      </c>
      <c r="B6" t="s">
        <v>16</v>
      </c>
      <c r="C6" s="36">
        <v>2282.4</v>
      </c>
      <c r="D6" t="s">
        <v>80</v>
      </c>
    </row>
    <row r="7" spans="1:4" x14ac:dyDescent="0.3">
      <c r="A7" s="30">
        <v>45982</v>
      </c>
      <c r="B7" t="s">
        <v>17</v>
      </c>
      <c r="C7" s="36">
        <v>400</v>
      </c>
      <c r="D7" t="s">
        <v>81</v>
      </c>
    </row>
    <row r="8" spans="1:4" x14ac:dyDescent="0.3">
      <c r="A8" s="30">
        <v>45983</v>
      </c>
      <c r="B8" t="s">
        <v>19</v>
      </c>
      <c r="C8" s="36">
        <v>50</v>
      </c>
      <c r="D8" t="s">
        <v>85</v>
      </c>
    </row>
    <row r="9" spans="1:4" x14ac:dyDescent="0.3">
      <c r="A9" s="30">
        <v>45988</v>
      </c>
      <c r="B9" t="s">
        <v>16</v>
      </c>
      <c r="C9" s="36">
        <v>1638.34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17679A-D5E8-45E8-B7E8-29E0E0113F61}">
          <x14:formula1>
            <xm:f>'Yearly income'!$C$11:$C$14</xm:f>
          </x14:formula1>
          <xm:sqref>B3:B1984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C594-4033-4F2D-B019-4CFC024E1025}">
  <sheetPr codeName="Sheet5"/>
  <dimension ref="A1:G63"/>
  <sheetViews>
    <sheetView topLeftCell="A28" workbookViewId="0">
      <selection activeCell="C57" sqref="C57"/>
    </sheetView>
  </sheetViews>
  <sheetFormatPr defaultRowHeight="14" x14ac:dyDescent="0.3"/>
  <cols>
    <col min="1" max="2" width="17.33203125" customWidth="1"/>
    <col min="3" max="3" width="17.33203125" style="41" customWidth="1"/>
    <col min="4" max="4" width="34.58203125" customWidth="1"/>
  </cols>
  <sheetData>
    <row r="1" spans="1:7" ht="28" customHeight="1" x14ac:dyDescent="0.3">
      <c r="A1" s="31" t="s">
        <v>36</v>
      </c>
      <c r="B1" s="31" t="s">
        <v>37</v>
      </c>
      <c r="C1" s="31" t="s">
        <v>38</v>
      </c>
      <c r="D1" s="31" t="s">
        <v>40</v>
      </c>
    </row>
    <row r="2" spans="1:7" x14ac:dyDescent="0.3">
      <c r="C2"/>
    </row>
    <row r="3" spans="1:7" x14ac:dyDescent="0.3">
      <c r="A3" s="30">
        <v>45931</v>
      </c>
      <c r="B3" t="s">
        <v>35</v>
      </c>
      <c r="C3" s="41">
        <v>400</v>
      </c>
      <c r="D3" t="s">
        <v>57</v>
      </c>
    </row>
    <row r="4" spans="1:7" x14ac:dyDescent="0.3">
      <c r="A4" s="30">
        <v>45940</v>
      </c>
      <c r="B4" t="s">
        <v>42</v>
      </c>
      <c r="C4" s="41">
        <v>82.13</v>
      </c>
    </row>
    <row r="5" spans="1:7" x14ac:dyDescent="0.3">
      <c r="A5" s="30">
        <v>45941</v>
      </c>
      <c r="B5" t="s">
        <v>26</v>
      </c>
      <c r="C5" s="41">
        <f>2*35.11</f>
        <v>70.22</v>
      </c>
      <c r="D5" t="s">
        <v>45</v>
      </c>
    </row>
    <row r="6" spans="1:7" x14ac:dyDescent="0.3">
      <c r="A6" s="30">
        <v>45943</v>
      </c>
      <c r="B6" t="s">
        <v>24</v>
      </c>
      <c r="C6" s="41">
        <v>6</v>
      </c>
    </row>
    <row r="7" spans="1:7" x14ac:dyDescent="0.3">
      <c r="A7" s="30">
        <v>45944</v>
      </c>
      <c r="B7" t="s">
        <v>26</v>
      </c>
      <c r="C7" s="41">
        <v>15.99</v>
      </c>
      <c r="D7" t="s">
        <v>46</v>
      </c>
    </row>
    <row r="8" spans="1:7" x14ac:dyDescent="0.3">
      <c r="A8" s="30">
        <v>45945</v>
      </c>
      <c r="B8" t="s">
        <v>13</v>
      </c>
      <c r="C8" s="41">
        <v>81.95</v>
      </c>
    </row>
    <row r="9" spans="1:7" x14ac:dyDescent="0.3">
      <c r="A9" s="30">
        <v>45946</v>
      </c>
      <c r="B9" t="s">
        <v>35</v>
      </c>
      <c r="C9" s="41">
        <v>22.89</v>
      </c>
      <c r="D9" t="s">
        <v>47</v>
      </c>
    </row>
    <row r="10" spans="1:7" x14ac:dyDescent="0.3">
      <c r="A10" s="30">
        <v>45946</v>
      </c>
      <c r="B10" t="s">
        <v>24</v>
      </c>
      <c r="C10" s="41">
        <v>20.05</v>
      </c>
      <c r="D10" t="s">
        <v>52</v>
      </c>
    </row>
    <row r="11" spans="1:7" x14ac:dyDescent="0.3">
      <c r="A11" s="30">
        <v>45948</v>
      </c>
      <c r="B11" t="s">
        <v>25</v>
      </c>
      <c r="C11" s="41">
        <v>29.9</v>
      </c>
      <c r="D11" t="s">
        <v>48</v>
      </c>
    </row>
    <row r="12" spans="1:7" x14ac:dyDescent="0.3">
      <c r="A12" s="30">
        <v>45948</v>
      </c>
      <c r="B12" t="s">
        <v>5</v>
      </c>
      <c r="C12" s="41">
        <v>53.82</v>
      </c>
      <c r="D12" t="s">
        <v>50</v>
      </c>
    </row>
    <row r="13" spans="1:7" x14ac:dyDescent="0.3">
      <c r="A13" s="30">
        <v>45949</v>
      </c>
      <c r="B13" t="s">
        <v>25</v>
      </c>
      <c r="C13" s="41">
        <v>49.93</v>
      </c>
      <c r="D13" t="s">
        <v>51</v>
      </c>
    </row>
    <row r="14" spans="1:7" x14ac:dyDescent="0.3">
      <c r="A14" s="30">
        <v>45953</v>
      </c>
      <c r="B14" t="s">
        <v>7</v>
      </c>
      <c r="C14" s="41">
        <v>30</v>
      </c>
      <c r="D14" t="s">
        <v>55</v>
      </c>
    </row>
    <row r="15" spans="1:7" x14ac:dyDescent="0.3">
      <c r="A15" s="30">
        <v>45954</v>
      </c>
      <c r="B15" t="s">
        <v>12</v>
      </c>
      <c r="C15" s="41">
        <v>142</v>
      </c>
      <c r="D15" t="s">
        <v>53</v>
      </c>
      <c r="G15" s="36"/>
    </row>
    <row r="16" spans="1:7" x14ac:dyDescent="0.3">
      <c r="A16" s="30">
        <v>45954</v>
      </c>
      <c r="B16" t="s">
        <v>9</v>
      </c>
      <c r="C16" s="41">
        <v>86</v>
      </c>
      <c r="D16" t="s">
        <v>54</v>
      </c>
    </row>
    <row r="17" spans="1:4" x14ac:dyDescent="0.3">
      <c r="A17" s="30">
        <v>45954</v>
      </c>
      <c r="B17" t="s">
        <v>42</v>
      </c>
      <c r="C17" s="41">
        <f>146+1</f>
        <v>147</v>
      </c>
    </row>
    <row r="18" spans="1:4" x14ac:dyDescent="0.3">
      <c r="A18" s="30">
        <v>45954</v>
      </c>
      <c r="B18" t="s">
        <v>6</v>
      </c>
      <c r="C18" s="41">
        <v>2.2000000000000002</v>
      </c>
      <c r="D18" t="s">
        <v>56</v>
      </c>
    </row>
    <row r="19" spans="1:4" x14ac:dyDescent="0.3">
      <c r="A19" s="30">
        <v>45955</v>
      </c>
      <c r="B19" t="s">
        <v>25</v>
      </c>
      <c r="C19" s="41">
        <v>38.270000000000003</v>
      </c>
      <c r="D19" t="s">
        <v>58</v>
      </c>
    </row>
    <row r="20" spans="1:4" x14ac:dyDescent="0.3">
      <c r="A20" s="30">
        <v>45956</v>
      </c>
      <c r="B20" t="s">
        <v>25</v>
      </c>
      <c r="C20" s="41">
        <v>12.99</v>
      </c>
      <c r="D20" t="s">
        <v>59</v>
      </c>
    </row>
    <row r="21" spans="1:4" x14ac:dyDescent="0.3">
      <c r="A21" s="30">
        <v>45956</v>
      </c>
      <c r="B21" t="s">
        <v>25</v>
      </c>
      <c r="C21" s="41">
        <v>35.4</v>
      </c>
      <c r="D21" t="s">
        <v>60</v>
      </c>
    </row>
    <row r="22" spans="1:4" x14ac:dyDescent="0.3">
      <c r="A22" s="30">
        <v>45958</v>
      </c>
      <c r="B22" t="s">
        <v>9</v>
      </c>
      <c r="C22" s="41">
        <v>15</v>
      </c>
    </row>
    <row r="23" spans="1:4" x14ac:dyDescent="0.3">
      <c r="A23" s="30">
        <v>45958</v>
      </c>
      <c r="B23" t="s">
        <v>25</v>
      </c>
      <c r="C23" s="41">
        <v>59.9</v>
      </c>
      <c r="D23" t="s">
        <v>61</v>
      </c>
    </row>
    <row r="24" spans="1:4" x14ac:dyDescent="0.3">
      <c r="A24" s="30">
        <v>45960</v>
      </c>
      <c r="B24" t="s">
        <v>6</v>
      </c>
      <c r="C24" s="41">
        <v>95</v>
      </c>
      <c r="D24" t="s">
        <v>62</v>
      </c>
    </row>
    <row r="25" spans="1:4" x14ac:dyDescent="0.3">
      <c r="A25" s="30">
        <v>45991</v>
      </c>
      <c r="B25" t="s">
        <v>6</v>
      </c>
      <c r="C25" s="41">
        <v>12</v>
      </c>
      <c r="D25" t="s">
        <v>69</v>
      </c>
    </row>
    <row r="26" spans="1:4" x14ac:dyDescent="0.3">
      <c r="A26" s="30">
        <v>45962</v>
      </c>
      <c r="B26" t="s">
        <v>6</v>
      </c>
      <c r="C26" s="41">
        <v>13.4</v>
      </c>
      <c r="D26" t="s">
        <v>64</v>
      </c>
    </row>
    <row r="27" spans="1:4" x14ac:dyDescent="0.3">
      <c r="A27" s="30">
        <v>45962</v>
      </c>
      <c r="B27" t="s">
        <v>25</v>
      </c>
      <c r="C27" s="41">
        <v>18</v>
      </c>
      <c r="D27" t="s">
        <v>65</v>
      </c>
    </row>
    <row r="28" spans="1:4" x14ac:dyDescent="0.3">
      <c r="A28" s="30">
        <v>45963</v>
      </c>
      <c r="B28" t="s">
        <v>6</v>
      </c>
      <c r="C28" s="41">
        <v>1.5</v>
      </c>
      <c r="D28" t="s">
        <v>64</v>
      </c>
    </row>
    <row r="29" spans="1:4" x14ac:dyDescent="0.3">
      <c r="A29" s="30">
        <v>45963</v>
      </c>
      <c r="B29" t="s">
        <v>6</v>
      </c>
      <c r="C29" s="41">
        <v>17.899999999999999</v>
      </c>
      <c r="D29" t="s">
        <v>64</v>
      </c>
    </row>
    <row r="30" spans="1:4" x14ac:dyDescent="0.3">
      <c r="A30" s="30">
        <v>45963</v>
      </c>
      <c r="B30" t="s">
        <v>6</v>
      </c>
      <c r="C30" s="41">
        <v>2.6</v>
      </c>
      <c r="D30" t="s">
        <v>64</v>
      </c>
    </row>
    <row r="31" spans="1:4" x14ac:dyDescent="0.3">
      <c r="A31" s="30">
        <v>45963</v>
      </c>
      <c r="B31" t="s">
        <v>24</v>
      </c>
      <c r="C31" s="41">
        <v>57.29</v>
      </c>
      <c r="D31" t="s">
        <v>66</v>
      </c>
    </row>
    <row r="32" spans="1:4" x14ac:dyDescent="0.3">
      <c r="A32" s="30">
        <v>45964</v>
      </c>
      <c r="B32" t="s">
        <v>9</v>
      </c>
      <c r="C32" s="41">
        <v>10</v>
      </c>
      <c r="D32" t="s">
        <v>68</v>
      </c>
    </row>
    <row r="33" spans="1:4" x14ac:dyDescent="0.3">
      <c r="A33" s="30">
        <v>45965</v>
      </c>
      <c r="B33" t="s">
        <v>12</v>
      </c>
      <c r="C33" s="41">
        <v>182</v>
      </c>
      <c r="D33" t="s">
        <v>67</v>
      </c>
    </row>
    <row r="34" spans="1:4" x14ac:dyDescent="0.3">
      <c r="A34" s="30">
        <v>45965</v>
      </c>
      <c r="B34" t="s">
        <v>9</v>
      </c>
      <c r="C34" s="41">
        <v>15</v>
      </c>
    </row>
    <row r="35" spans="1:4" x14ac:dyDescent="0.3">
      <c r="A35" s="30">
        <v>45965</v>
      </c>
      <c r="B35" t="s">
        <v>6</v>
      </c>
      <c r="C35" s="41">
        <v>2.2000000000000002</v>
      </c>
      <c r="D35" t="s">
        <v>56</v>
      </c>
    </row>
    <row r="36" spans="1:4" x14ac:dyDescent="0.3">
      <c r="A36" s="30">
        <v>45968</v>
      </c>
      <c r="B36" t="s">
        <v>9</v>
      </c>
      <c r="C36" s="41">
        <v>15.8</v>
      </c>
    </row>
    <row r="37" spans="1:4" x14ac:dyDescent="0.3">
      <c r="A37" s="30">
        <v>45970</v>
      </c>
      <c r="B37" t="s">
        <v>25</v>
      </c>
      <c r="C37" s="41">
        <v>31.09</v>
      </c>
    </row>
    <row r="38" spans="1:4" x14ac:dyDescent="0.3">
      <c r="A38" s="30">
        <v>45971</v>
      </c>
      <c r="B38" t="s">
        <v>12</v>
      </c>
      <c r="C38" s="41">
        <v>84.35</v>
      </c>
      <c r="D38" t="s">
        <v>71</v>
      </c>
    </row>
    <row r="39" spans="1:4" x14ac:dyDescent="0.3">
      <c r="A39" s="30">
        <v>45971</v>
      </c>
      <c r="B39" t="s">
        <v>12</v>
      </c>
      <c r="C39" s="41">
        <v>56.96</v>
      </c>
      <c r="D39" t="s">
        <v>70</v>
      </c>
    </row>
    <row r="40" spans="1:4" x14ac:dyDescent="0.3">
      <c r="A40" s="30">
        <v>45971</v>
      </c>
      <c r="B40" t="s">
        <v>7</v>
      </c>
      <c r="C40" s="41">
        <v>100</v>
      </c>
      <c r="D40" t="s">
        <v>72</v>
      </c>
    </row>
    <row r="41" spans="1:4" x14ac:dyDescent="0.3">
      <c r="A41" s="30">
        <v>45971</v>
      </c>
      <c r="B41" t="s">
        <v>5</v>
      </c>
      <c r="C41" s="41">
        <v>7.06</v>
      </c>
      <c r="D41" t="s">
        <v>74</v>
      </c>
    </row>
    <row r="42" spans="1:4" x14ac:dyDescent="0.3">
      <c r="A42" s="30">
        <v>45971</v>
      </c>
      <c r="B42" t="s">
        <v>6</v>
      </c>
      <c r="C42" s="41">
        <f>4.08*2</f>
        <v>8.16</v>
      </c>
      <c r="D42" t="s">
        <v>75</v>
      </c>
    </row>
    <row r="43" spans="1:4" x14ac:dyDescent="0.3">
      <c r="A43" s="30">
        <v>45971</v>
      </c>
      <c r="B43" t="s">
        <v>24</v>
      </c>
      <c r="C43" s="41">
        <v>39</v>
      </c>
    </row>
    <row r="44" spans="1:4" x14ac:dyDescent="0.3">
      <c r="A44" s="30">
        <v>45972</v>
      </c>
      <c r="B44" t="s">
        <v>9</v>
      </c>
      <c r="C44" s="41">
        <v>7.3</v>
      </c>
    </row>
    <row r="45" spans="1:4" x14ac:dyDescent="0.3">
      <c r="A45" s="30">
        <v>45973</v>
      </c>
      <c r="B45" t="s">
        <v>9</v>
      </c>
      <c r="C45" s="41">
        <v>16</v>
      </c>
    </row>
    <row r="46" spans="1:4" x14ac:dyDescent="0.3">
      <c r="A46" s="30">
        <v>45973</v>
      </c>
      <c r="B46" t="s">
        <v>6</v>
      </c>
      <c r="C46" s="41">
        <v>2.2000000000000002</v>
      </c>
      <c r="D46" t="s">
        <v>56</v>
      </c>
    </row>
    <row r="47" spans="1:4" x14ac:dyDescent="0.3">
      <c r="A47" s="30">
        <v>45973</v>
      </c>
      <c r="B47" t="s">
        <v>5</v>
      </c>
      <c r="C47" s="41">
        <v>29.57</v>
      </c>
      <c r="D47" t="s">
        <v>50</v>
      </c>
    </row>
    <row r="48" spans="1:4" x14ac:dyDescent="0.3">
      <c r="A48" s="30">
        <v>45973</v>
      </c>
      <c r="B48" t="s">
        <v>24</v>
      </c>
      <c r="C48" s="41">
        <v>38.200000000000003</v>
      </c>
      <c r="D48" t="s">
        <v>66</v>
      </c>
    </row>
    <row r="49" spans="1:4" x14ac:dyDescent="0.3">
      <c r="A49" s="30">
        <v>45974</v>
      </c>
      <c r="B49" t="s">
        <v>9</v>
      </c>
      <c r="C49" s="41">
        <v>17</v>
      </c>
    </row>
    <row r="50" spans="1:4" x14ac:dyDescent="0.3">
      <c r="A50" s="30">
        <v>45974</v>
      </c>
      <c r="B50" t="s">
        <v>6</v>
      </c>
      <c r="C50" s="41">
        <v>41.1</v>
      </c>
      <c r="D50" t="s">
        <v>77</v>
      </c>
    </row>
    <row r="51" spans="1:4" x14ac:dyDescent="0.3">
      <c r="A51" s="30">
        <v>45975</v>
      </c>
      <c r="B51" t="s">
        <v>6</v>
      </c>
      <c r="C51" s="41">
        <v>96</v>
      </c>
      <c r="D51" t="s">
        <v>76</v>
      </c>
    </row>
    <row r="52" spans="1:4" x14ac:dyDescent="0.3">
      <c r="A52" s="30">
        <v>45975</v>
      </c>
      <c r="B52" t="s">
        <v>9</v>
      </c>
      <c r="C52" s="41">
        <v>1.5</v>
      </c>
      <c r="D52" t="s">
        <v>78</v>
      </c>
    </row>
    <row r="53" spans="1:4" x14ac:dyDescent="0.3">
      <c r="A53" s="30">
        <v>45975</v>
      </c>
      <c r="B53" t="s">
        <v>24</v>
      </c>
      <c r="C53" s="41">
        <v>15.53</v>
      </c>
      <c r="D53" t="s">
        <v>79</v>
      </c>
    </row>
    <row r="54" spans="1:4" x14ac:dyDescent="0.3">
      <c r="A54" s="30">
        <v>45980</v>
      </c>
      <c r="B54" t="s">
        <v>24</v>
      </c>
      <c r="C54" s="41">
        <v>36.39</v>
      </c>
      <c r="D54" t="s">
        <v>66</v>
      </c>
    </row>
    <row r="55" spans="1:4" x14ac:dyDescent="0.3">
      <c r="A55" s="30">
        <v>45982</v>
      </c>
      <c r="B55" t="s">
        <v>9</v>
      </c>
      <c r="C55" s="41">
        <f>7.9+15</f>
        <v>22.9</v>
      </c>
    </row>
    <row r="56" spans="1:4" x14ac:dyDescent="0.3">
      <c r="A56" s="30">
        <v>45982</v>
      </c>
      <c r="B56" t="s">
        <v>6</v>
      </c>
      <c r="C56" s="41">
        <f>2.2*3</f>
        <v>6.6000000000000005</v>
      </c>
      <c r="D56" t="s">
        <v>56</v>
      </c>
    </row>
    <row r="57" spans="1:4" x14ac:dyDescent="0.3">
      <c r="A57" s="30">
        <v>45982</v>
      </c>
      <c r="B57" t="s">
        <v>24</v>
      </c>
      <c r="C57" s="41">
        <v>1.6</v>
      </c>
      <c r="D57" t="s">
        <v>82</v>
      </c>
    </row>
    <row r="58" spans="1:4" x14ac:dyDescent="0.3">
      <c r="A58" s="30">
        <v>45983</v>
      </c>
      <c r="B58" t="s">
        <v>9</v>
      </c>
      <c r="C58" s="41">
        <v>5</v>
      </c>
    </row>
    <row r="59" spans="1:4" x14ac:dyDescent="0.3">
      <c r="A59" s="30">
        <v>45983</v>
      </c>
      <c r="B59" t="s">
        <v>6</v>
      </c>
      <c r="C59" s="41">
        <v>2.2000000000000002</v>
      </c>
      <c r="D59" t="s">
        <v>56</v>
      </c>
    </row>
    <row r="60" spans="1:4" x14ac:dyDescent="0.3">
      <c r="A60" s="30">
        <v>45983</v>
      </c>
      <c r="B60" t="s">
        <v>7</v>
      </c>
      <c r="C60" s="41">
        <v>150</v>
      </c>
      <c r="D60" t="s">
        <v>83</v>
      </c>
    </row>
    <row r="61" spans="1:4" x14ac:dyDescent="0.3">
      <c r="A61" s="30">
        <v>45984</v>
      </c>
      <c r="B61" t="s">
        <v>42</v>
      </c>
      <c r="C61" s="41">
        <f>144+1</f>
        <v>145</v>
      </c>
      <c r="D61" t="s">
        <v>84</v>
      </c>
    </row>
    <row r="62" spans="1:4" x14ac:dyDescent="0.3">
      <c r="A62" s="30">
        <v>45986</v>
      </c>
      <c r="B62" t="s">
        <v>25</v>
      </c>
      <c r="C62" s="41">
        <v>63.6</v>
      </c>
      <c r="D62" t="s">
        <v>66</v>
      </c>
    </row>
    <row r="63" spans="1:4" x14ac:dyDescent="0.3">
      <c r="A63" s="30">
        <v>45987</v>
      </c>
      <c r="B63" t="s">
        <v>5</v>
      </c>
      <c r="C63" s="41">
        <v>111.4</v>
      </c>
      <c r="D63" t="s">
        <v>86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3040CC-5EE9-4080-84B5-BBB1A8F911A4}">
          <x14:formula1>
            <xm:f>'Yearly expenses'!$C$6:$C$19</xm:f>
          </x14:formula1>
          <xm:sqref>B3:B1048576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3D63A9-91DC-4389-91CA-2CBCB9D677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B8BFA756-211F-451C-9A59-BEC43D5AF2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176D8A-BAC2-4510-9507-F06F7F9836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TM00000075</Template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Cash flow</vt:lpstr>
      <vt:lpstr>Yearly income</vt:lpstr>
      <vt:lpstr>Yearly expenses</vt:lpstr>
      <vt:lpstr>List Income</vt:lpstr>
      <vt:lpstr>List Expenses</vt:lpstr>
      <vt:lpstr>'Cash flow'!Print_Titles</vt:lpstr>
      <vt:lpstr>'Yearly expenses'!Print_Titles</vt:lpstr>
      <vt:lpstr>'Yearly income'!Print_Titles</vt:lpstr>
      <vt:lpstr>Title1</vt:lpstr>
      <vt:lpstr>Title2</vt:lpstr>
      <vt:lpstr>Title3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2022-11-28T07:55:11Z</dcterms:created>
  <dcterms:modified xsi:type="dcterms:W3CDTF">2025-11-28T11:32:01Z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